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Summary" sheetId="2" state="visible" r:id="rId4"/>
    <sheet name="Unit_Economics" sheetId="3" state="visible" r:id="rId5"/>
    <sheet name="Sensitivity" sheetId="4" state="visible" r:id="rId6"/>
    <sheet name="Assumptions" sheetId="5" state="visible" r:id="rId7"/>
    <sheet name="Model_Cons" sheetId="6" state="visible" r:id="rId8"/>
    <sheet name="Model_Base" sheetId="7" state="visible" r:id="rId9"/>
    <sheet name="Model_Agg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<sst xmlns="http://schemas.openxmlformats.org/spreadsheetml/2006/main" count="935" uniqueCount="310">
  <si>
    <t xml:space="preserve">HOW TO USE</t>
  </si>
  <si>
    <t xml:space="preserve">1. Edit only blue cells on Assumptions. Yellow fill = assumption that most needs a real number.</t>
  </si>
  <si>
    <t xml:space="preserve">2. Three scenarios run side by side (Model_Cons / Model_Base / Model_Aggr). Summary, Unit_Economics and Sensitivity update automatically.</t>
  </si>
  <si>
    <t xml:space="preserve">3. Months are counted from launch. Calendar mapping uses 'Calendar month of launch' for seasonality only.</t>
  </si>
  <si>
    <t xml:space="preserve">STRUCTURE</t>
  </si>
  <si>
    <t xml:space="preserve">Funnel -&gt; cohort survivors -&gt; AUM (deposits, exits, partial withdrawals) -&gt; revenue -&gt; bonus cost -&gt; costs -&gt; net contribution.</t>
  </si>
  <si>
    <t xml:space="preserve">Counterfactual rows re-run AUM without Pause &amp; Reflect to size AUM retained.</t>
  </si>
  <si>
    <t xml:space="preserve">SIMPLIFICATIONS (be honest about them)</t>
  </si>
  <si>
    <t xml:space="preserve">- Constant monthly churn; one average balance for all users; no discounting; no compounding of bonus interest.</t>
  </si>
  <si>
    <t xml:space="preserve">- Bonus interest is paid on all Habitlock savings balances, but only 'incrementality' of revenue is counted as new.</t>
  </si>
  <si>
    <t xml:space="preserve">- Badge levels follow deck unlock rules by tenure; Lv5 and Lv6 depend on auto-invest adoption after AI launch.</t>
  </si>
  <si>
    <t xml:space="preserve">- All take rates, CAC, retention and balances are illustrative. Replace with Infina data before using any output.</t>
  </si>
  <si>
    <t xml:space="preserve">COLOUR CODE: blue input, black formula, green link to another sheet, yellow fill = key assumption.</t>
  </si>
  <si>
    <t xml:space="preserve">Habitlock financial model: summary</t>
  </si>
  <si>
    <t xml:space="preserve">18 months from launch. VND. Every input is illustrative unless the Assumptions tab says 'Deck'. This is a reasoning tool, not a forecast.</t>
  </si>
  <si>
    <t xml:space="preserve">Metric</t>
  </si>
  <si>
    <t xml:space="preserve">Unit</t>
  </si>
  <si>
    <t xml:space="preserve">Conservative</t>
  </si>
  <si>
    <t xml:space="preserve">Base</t>
  </si>
  <si>
    <t xml:space="preserve">Aggressive</t>
  </si>
  <si>
    <t xml:space="preserve">Scale</t>
  </si>
  <si>
    <t xml:space="preserve">Users acquired, cumulative M18</t>
  </si>
  <si>
    <t xml:space="preserve">users</t>
  </si>
  <si>
    <t xml:space="preserve">Activated users (first deposit), cumulative</t>
  </si>
  <si>
    <t xml:space="preserve">Active users, M18</t>
  </si>
  <si>
    <t xml:space="preserve">AUM, M18</t>
  </si>
  <si>
    <t xml:space="preserve">VND bn</t>
  </si>
  <si>
    <t xml:space="preserve">Average balance per active user, M18</t>
  </si>
  <si>
    <t xml:space="preserve">VND mn</t>
  </si>
  <si>
    <t xml:space="preserve">AUM retained thanks to Pause &amp; Reflect, M18</t>
  </si>
  <si>
    <t xml:space="preserve">P&amp;L, 18 months, VND mn</t>
  </si>
  <si>
    <t xml:space="preserve">Incremental revenue</t>
  </si>
  <si>
    <t xml:space="preserve">Bonus interest cost</t>
  </si>
  <si>
    <t xml:space="preserve">Bonus cost as % of incremental revenue</t>
  </si>
  <si>
    <t xml:space="preserve">%</t>
  </si>
  <si>
    <t xml:space="preserve">Acquisition spend</t>
  </si>
  <si>
    <t xml:space="preserve">Build + run cost</t>
  </si>
  <si>
    <t xml:space="preserve">Cumulative net contribution, M18</t>
  </si>
  <si>
    <t xml:space="preserve">First month cumulative net &gt;= 0</t>
  </si>
  <si>
    <t xml:space="preserve">month</t>
  </si>
  <si>
    <t xml:space="preserve">First month monthly net &gt;= 0</t>
  </si>
  <si>
    <t xml:space="preserve">Cross-checks against the deck</t>
  </si>
  <si>
    <t xml:space="preserve">Required P&amp;R effectiveness to hit deck Dec adherence target</t>
  </si>
  <si>
    <t xml:space="preserve">P&amp;R effectiveness assumed in this scenario</t>
  </si>
  <si>
    <t xml:space="preserve">Earliest month any user can reach Lv4 (badge launch + 3)</t>
  </si>
  <si>
    <t xml:space="preserve">Deck Phase 3 (needs Lv4 users) ends in month</t>
  </si>
  <si>
    <t xml:space="preserve">Timeline check</t>
  </si>
  <si>
    <t xml:space="preserve">Share of 'ready' pool reached by M18 (deck claims 20-30%)</t>
  </si>
  <si>
    <t xml:space="preserve">Model integrity checks</t>
  </si>
  <si>
    <t xml:space="preserve">Activated users = reach x pool x activation</t>
  </si>
  <si>
    <t xml:space="preserve">check</t>
  </si>
  <si>
    <t xml:space="preserve">AUM never negative</t>
  </si>
  <si>
    <t xml:space="preserve">Signup weights sum to 100%</t>
  </si>
  <si>
    <t xml:space="preserve">Unit economics per active user at M18</t>
  </si>
  <si>
    <t xml:space="preserve">Steady-state view using M18 mix. Undiscounted LTV. Take rates and CAC are placeholders: read the ratios as sensitivity, not as a forecast.</t>
  </si>
  <si>
    <t xml:space="preserve">Average balance per active user</t>
  </si>
  <si>
    <t xml:space="preserve">Fund share of AUM</t>
  </si>
  <si>
    <t xml:space="preserve">Blended gross take rate</t>
  </si>
  <si>
    <t xml:space="preserve">%/yr</t>
  </si>
  <si>
    <t xml:space="preserve">Incrementality</t>
  </si>
  <si>
    <t xml:space="preserve">Incremental revenue per user per year</t>
  </si>
  <si>
    <t xml:space="preserve">VND '000</t>
  </si>
  <si>
    <t xml:space="preserve">Weighted bonus rate on savings</t>
  </si>
  <si>
    <t xml:space="preserve">Bonus cost per user per year</t>
  </si>
  <si>
    <t xml:space="preserve">Net margin per user per year</t>
  </si>
  <si>
    <t xml:space="preserve">Net margin per user per month</t>
  </si>
  <si>
    <t xml:space="preserve">Expected lifetime (1 / monthly churn)</t>
  </si>
  <si>
    <t xml:space="preserve">months</t>
  </si>
  <si>
    <t xml:space="preserve">LTV (undiscounted)</t>
  </si>
  <si>
    <t xml:space="preserve">CAC per activated user</t>
  </si>
  <si>
    <t xml:space="preserve">LTV / CAC</t>
  </si>
  <si>
    <t xml:space="preserve">x</t>
  </si>
  <si>
    <t xml:space="preserve">CAC payback</t>
  </si>
  <si>
    <t xml:space="preserve">Max sustainable bonus rate (net margin = 0)</t>
  </si>
  <si>
    <t xml:space="preserve">Headroom: max minus actual bonus rate</t>
  </si>
  <si>
    <t xml:space="preserve">What must be true for the economics to close</t>
  </si>
  <si>
    <t xml:space="preserve">Net margin per VND of average AUM (take x incr minus bonus on savings)</t>
  </si>
  <si>
    <t xml:space="preserve">AUM needed just to cover monthly run cost</t>
  </si>
  <si>
    <t xml:space="preserve">AUM actually reached at M18</t>
  </si>
  <si>
    <t xml:space="preserve">M18 AUM as multiple of break-even AUM</t>
  </si>
  <si>
    <t xml:space="preserve">Max CAC for LTV / CAC = 3</t>
  </si>
  <si>
    <t xml:space="preserve">Avg balance per user needed for LTV / CAC = 3 (current CAC, take rate, churn)</t>
  </si>
  <si>
    <t xml:space="preserve">Reading guide: if M18 AUM is below break-even AUM, the product does not cover even its own run cost, regardless of CAC. If LTV / CAC &lt; 3, paid acquisition destroys value; the case then depends on organic or partner-funded growth.</t>
  </si>
  <si>
    <t xml:space="preserve">Sensitivity: does the bonus interest pay for itself?</t>
  </si>
  <si>
    <t xml:space="preserve">Table 1 compares each badge's bonus with the net take rate Infina keeps. Table 2 flexes the two biggest unknowns on the Base scenario.</t>
  </si>
  <si>
    <t xml:space="preserve">Table 1: spread per VND of savings balance after bonus (incremental take rate minus bonus), annual</t>
  </si>
  <si>
    <t xml:space="preserve">Badge</t>
  </si>
  <si>
    <t xml:space="preserve">Bonus (annual)</t>
  </si>
  <si>
    <t xml:space="preserve">Negative (red) = a user at that level costs Infina more in bonus than they earn, before CAC and run costs. Bonus is paid on all balances; only the take rate is scaled by incrementality.</t>
  </si>
  <si>
    <t xml:space="preserve">Table 2: Base scenario, M18 run-rate annualised net contribution before acquisition spend (VND mn)</t>
  </si>
  <si>
    <t xml:space="preserve">Rows: multiplier on take rates. Columns: multiplier on bonus rates.</t>
  </si>
  <si>
    <t xml:space="preserve">Take-rate multiplier \ Bonus multiplier</t>
  </si>
  <si>
    <t xml:space="preserve">Table 3: Base scenario LTV / CAC by CAC (rows) and average balance multiplier (columns)</t>
  </si>
  <si>
    <t xml:space="preserve">CAC per activated user in VND thousand. 0 = purely organic. Balance multiplier scales the M18 average balance.</t>
  </si>
  <si>
    <t xml:space="preserve">CAC (VND '000) \ Balance multiplier</t>
  </si>
  <si>
    <t xml:space="preserve">Red = below the common 3x LTV / CAC threshold.</t>
  </si>
  <si>
    <t xml:space="preserve">Habitlock financial model: assumptions</t>
  </si>
  <si>
    <t xml:space="preserve">Blue = input (edit these). Black = formula. Yellow fill = key assumption that must be validated with Infina. All VND. Nothing here is Infina data unless Source says 'Deck'.</t>
  </si>
  <si>
    <t xml:space="preserve">Source key: Deck = taken from the Habitlock proposal; Illustrative = my placeholder, not evidence; Confirm = needs Infina / real data before anyone relies on it.</t>
  </si>
  <si>
    <t xml:space="preserve">Parameter</t>
  </si>
  <si>
    <t xml:space="preserve">Source</t>
  </si>
  <si>
    <t xml:space="preserve">Note</t>
  </si>
  <si>
    <t xml:space="preserve">Units</t>
  </si>
  <si>
    <t xml:space="preserve">VND per VND million</t>
  </si>
  <si>
    <t xml:space="preserve">VND</t>
  </si>
  <si>
    <t xml:space="preserve">Constant</t>
  </si>
  <si>
    <t xml:space="preserve">VND per VND thousand</t>
  </si>
  <si>
    <t xml:space="preserve">Market funnel (Deck sizing)</t>
  </si>
  <si>
    <t xml:space="preserve">Population aged 18-25</t>
  </si>
  <si>
    <t xml:space="preserve">people</t>
  </si>
  <si>
    <t xml:space="preserve">Deck</t>
  </si>
  <si>
    <t xml:space="preserve">Top-down estimate, no source in deck</t>
  </si>
  <si>
    <t xml:space="preserve">Interested in personal finance</t>
  </si>
  <si>
    <t xml:space="preserve">Ready to save with the right tool</t>
  </si>
  <si>
    <t xml:space="preserve">Acquisition and activation</t>
  </si>
  <si>
    <t xml:space="preserve">Cumulative users acquired by M18, % of 'ready' pool</t>
  </si>
  <si>
    <t xml:space="preserve">Illustrative</t>
  </si>
  <si>
    <t xml:space="preserve">Deck claims 20-30% (600-900K users). Aggressive = deck low end. Base is half of it.</t>
  </si>
  <si>
    <t xml:space="preserve">Acquired users who make a first deposit</t>
  </si>
  <si>
    <t xml:space="preserve">Confirm with Infina's blended CAC</t>
  </si>
  <si>
    <t xml:space="preserve">Retention and balances</t>
  </si>
  <si>
    <t xml:space="preserve">Monthly churn of activated users (full exit)</t>
  </si>
  <si>
    <t xml:space="preserve">%/month</t>
  </si>
  <si>
    <t xml:space="preserve">Constant hazard for simplicity</t>
  </si>
  <si>
    <t xml:space="preserve">Deposit per active user per month</t>
  </si>
  <si>
    <t xml:space="preserve">Badge Lv1/Lv2 floor is 100K/month (Deck)</t>
  </si>
  <si>
    <t xml:space="preserve">Partial withdrawals, % of AUM per month (before Pause &amp; Reflect)</t>
  </si>
  <si>
    <t xml:space="preserve">Share of partial withdrawals that are impulsive</t>
  </si>
  <si>
    <t xml:space="preserve">Deck: &gt;70% SAY impulsive spending is the main barrier. Self-report is not withdrawal data.</t>
  </si>
  <si>
    <t xml:space="preserve">Pause &amp; Reflect: share of impulsive withdrawals cancelled</t>
  </si>
  <si>
    <t xml:space="preserve">Core product hypothesis. Test it, do not assume it.</t>
  </si>
  <si>
    <t xml:space="preserve">Revenue to Infina (annual, % of AUM)</t>
  </si>
  <si>
    <t xml:space="preserve">Net take rate on savings AUM</t>
  </si>
  <si>
    <t xml:space="preserve">Confirm</t>
  </si>
  <si>
    <t xml:space="preserve">Spread or commission Infina keeps. Biggest unknown in the model.</t>
  </si>
  <si>
    <t xml:space="preserve">Net take rate on fund AUM</t>
  </si>
  <si>
    <t xml:space="preserve">Distribution fee share</t>
  </si>
  <si>
    <t xml:space="preserve">Incrementality: share of Habitlock AUM revenue that is truly new</t>
  </si>
  <si>
    <t xml:space="preserve">Some users would have saved in Infina anyway. Bonus cost is NOT scaled by this.</t>
  </si>
  <si>
    <t xml:space="preserve">Fund share of AUM once AI / auto-invest is mature</t>
  </si>
  <si>
    <t xml:space="preserve">Deck: auto-invest moves only 10-20% of savings, so this is capped by design</t>
  </si>
  <si>
    <t xml:space="preserve">Months to reach mature fund share after AI launch</t>
  </si>
  <si>
    <t xml:space="preserve">Product timeline (months since launch; Deck roadmap assumes Jul start)</t>
  </si>
  <si>
    <t xml:space="preserve">Calendar month of launch (1=Jan)</t>
  </si>
  <si>
    <t xml:space="preserve">Jul 2025 start</t>
  </si>
  <si>
    <t xml:space="preserve">Pause &amp; Reflect live from month</t>
  </si>
  <si>
    <t xml:space="preserve">Sep on the roadmap</t>
  </si>
  <si>
    <t xml:space="preserve">Streaks and badges live from month</t>
  </si>
  <si>
    <t xml:space="preserve">Oct on the roadmap</t>
  </si>
  <si>
    <t xml:space="preserve">AI suggestions and auto-invest live from month</t>
  </si>
  <si>
    <t xml:space="preserve">Nov on the roadmap</t>
  </si>
  <si>
    <t xml:space="preserve">Last month of deck Phase 3 (Nov-Dec)</t>
  </si>
  <si>
    <t xml:space="preserve">Badges</t>
  </si>
  <si>
    <t xml:space="preserve">Active users who meet badge conditions</t>
  </si>
  <si>
    <t xml:space="preserve">Streaks are hard. Not everyone qualifies.</t>
  </si>
  <si>
    <t xml:space="preserve">Eligible users (Lv5+) who adopt auto-invest</t>
  </si>
  <si>
    <t xml:space="preserve">Costs</t>
  </si>
  <si>
    <t xml:space="preserve">One-off build, QA and compliance cost</t>
  </si>
  <si>
    <t xml:space="preserve">Confirm: engineering + legal + design</t>
  </si>
  <si>
    <t xml:space="preserve">Months over which build cost is spent</t>
  </si>
  <si>
    <t xml:space="preserve">Monthly run cost (PM, CS, ops, data)</t>
  </si>
  <si>
    <t xml:space="preserve">Deck KPI targets (used for cross-checks only)</t>
  </si>
  <si>
    <t xml:space="preserve">Adherence Rate, Jul 2025 target</t>
  </si>
  <si>
    <t xml:space="preserve">Adherence Rate, Dec 2025 target</t>
  </si>
  <si>
    <t xml:space="preserve">Badge bonus interest by level (Deck, annual, added on top of base rate)</t>
  </si>
  <si>
    <t xml:space="preserve">Level</t>
  </si>
  <si>
    <t xml:space="preserve">Name</t>
  </si>
  <si>
    <t xml:space="preserve">Lv1</t>
  </si>
  <si>
    <t xml:space="preserve">Saving Rookie</t>
  </si>
  <si>
    <t xml:space="preserve">Lv2</t>
  </si>
  <si>
    <t xml:space="preserve">Steady Cash Flow</t>
  </si>
  <si>
    <t xml:space="preserve">Lv3</t>
  </si>
  <si>
    <t xml:space="preserve">Motivation Builder</t>
  </si>
  <si>
    <t xml:space="preserve">Lv4</t>
  </si>
  <si>
    <t xml:space="preserve">Accumulation Master</t>
  </si>
  <si>
    <t xml:space="preserve">Lv5</t>
  </si>
  <si>
    <t xml:space="preserve">Habit Investor</t>
  </si>
  <si>
    <t xml:space="preserve">Lv6</t>
  </si>
  <si>
    <t xml:space="preserve">Growth Seeker</t>
  </si>
  <si>
    <t xml:space="preserve">Withdrawal seasonality multiplier by calendar month (Tet and year-end)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</si>
  <si>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</si>
  <si>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</si>
  <si>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</si>
  <si>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</si>
  <si>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</si>
  <si>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</si>
  <si>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</si>
  <si>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</si>
  <si>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</si>
  <si>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</si>
  <si>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</si>
  <si>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</si>
  <si>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Multiplier</t>
  </si>
  <si>
    <t xml:space="preserve">Illustrative. Deck itself expects year-end withdrawals.</t>
  </si>
  <si>
    <t xml:space="preserve">Signup ramp: relative weight by month since launch (normalised in model)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</si>
  <si>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</si>
  <si>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</si>
  <si>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</si>
  <si>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</si>
  <si>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</si>
  <si>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</si>
  <si>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</si>
  <si>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</si>
  <si>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</si>
  <si>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</si>
  <si>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</si>
  <si>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</si>
  <si>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</si>
  <si>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</si>
  <si>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</si>
  <si>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</si>
  <si>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</si>
  <si>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</si>
  <si>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Weight</t>
  </si>
  <si>
    <t xml:space="preserve">index</t>
  </si>
  <si>
    <t xml:space="preserve">Habitlock model, Conservative scenario</t>
  </si>
  <si>
    <t xml:space="preserve">All money in VND million unless stated. Months are counted from launch. Flows are monthly; stocks are end of month.</t>
  </si>
  <si>
    <t xml:space="preserve">Line item</t>
  </si>
  <si>
    <t xml:space="preserve">18M total</t>
  </si>
  <si>
    <t xml:space="preserve">Month since launch</t>
  </si>
  <si>
    <t xml:space="preserve">#</t>
  </si>
  <si>
    <t xml:space="preserve">Calendar month</t>
  </si>
  <si>
    <t xml:space="preserve">1-12</t>
  </si>
  <si>
    <t xml:space="preserve">Withdrawal seasonality</t>
  </si>
  <si>
    <t xml:space="preserve">Signup weight (normalised)</t>
  </si>
  <si>
    <t xml:space="preserve">Funnel</t>
  </si>
  <si>
    <t xml:space="preserve">New users acquired</t>
  </si>
  <si>
    <t xml:space="preserve">New activated users (first deposit)</t>
  </si>
  <si>
    <t xml:space="preserve">Active users, end of month</t>
  </si>
  <si>
    <t xml:space="preserve">Users who exit in month</t>
  </si>
  <si>
    <t xml:space="preserve">Cumulative users acquired</t>
  </si>
  <si>
    <t xml:space="preserve">AUM</t>
  </si>
  <si>
    <t xml:space="preserve">Average balance per active user, start of month</t>
  </si>
  <si>
    <t xml:space="preserve">VND mn/user</t>
  </si>
  <si>
    <t xml:space="preserve">Gross deposits</t>
  </si>
  <si>
    <t xml:space="preserve">Exit withdrawals (churned users take full balance)</t>
  </si>
  <si>
    <t xml:space="preserve">Pause &amp; Reflect live (1/0)</t>
  </si>
  <si>
    <t xml:space="preserve">flag</t>
  </si>
  <si>
    <t xml:space="preserve">Partial withdrawal rate after Pause &amp; Reflect</t>
  </si>
  <si>
    <t xml:space="preserve">Partial withdrawals</t>
  </si>
  <si>
    <t xml:space="preserve">AUM, end of month</t>
  </si>
  <si>
    <t xml:space="preserve">AUM in funds</t>
  </si>
  <si>
    <t xml:space="preserve">AUM in savings</t>
  </si>
  <si>
    <t xml:space="preserve">Average AUM in month</t>
  </si>
  <si>
    <t xml:space="preserve">Counterfactual: same cohort without Pause &amp; Reflect</t>
  </si>
  <si>
    <t xml:space="preserve">Avg balance per active user, no P&amp;R</t>
  </si>
  <si>
    <t xml:space="preserve">Exit withdrawals, no P&amp;R</t>
  </si>
  <si>
    <t xml:space="preserve">Partial withdrawals, no P&amp;R</t>
  </si>
  <si>
    <t xml:space="preserve">AUM, no P&amp;R</t>
  </si>
  <si>
    <t xml:space="preserve">AUM retained thanks to Pause &amp; Reflect</t>
  </si>
  <si>
    <t xml:space="preserve">P&amp;L to Infina (incremental)</t>
  </si>
  <si>
    <t xml:space="preserve">Revenue on savings AUM</t>
  </si>
  <si>
    <t xml:space="preserve">Revenue on fund AUM</t>
  </si>
  <si>
    <t xml:space="preserve">Gross revenue on Habitlock AUM</t>
  </si>
  <si>
    <t xml:space="preserve">Incremental revenue (after incrementality)</t>
  </si>
  <si>
    <t xml:space="preserve">Weighted average bonus rate (annual, savings AUM)</t>
  </si>
  <si>
    <t xml:space="preserve">Bonus interest cost (paid on ALL Habitlock savings AUM)</t>
  </si>
  <si>
    <t xml:space="preserve">Build cost</t>
  </si>
  <si>
    <t xml:space="preserve">Run cost</t>
  </si>
  <si>
    <t xml:space="preserve">Net contribution</t>
  </si>
  <si>
    <t xml:space="preserve">Cumulative net contribution</t>
  </si>
  <si>
    <t xml:space="preserve">Flag: cumulative net &gt;= 0</t>
  </si>
  <si>
    <t xml:space="preserve">Flag: monthly net &gt;= 0</t>
  </si>
  <si>
    <t xml:space="preserve">Cohort matrix: active users by acquisition cohort (rows) and month (columns)</t>
  </si>
  <si>
    <t xml:space="preserve">Cohort</t>
  </si>
  <si>
    <t xml:space="preserve">Cohort #</t>
  </si>
  <si>
    <t xml:space="preserve">Cohort M1</t>
  </si>
  <si>
    <t xml:space="preserve">Cohort M2</t>
  </si>
  <si>
    <t xml:space="preserve">Cohort M3</t>
  </si>
  <si>
    <t xml:space="preserve">Cohort M4</t>
  </si>
  <si>
    <t xml:space="preserve">Cohort M5</t>
  </si>
  <si>
    <t xml:space="preserve">Cohort M6</t>
  </si>
  <si>
    <t xml:space="preserve">Cohort M7</t>
  </si>
  <si>
    <t xml:space="preserve">Cohort M8</t>
  </si>
  <si>
    <t xml:space="preserve">Cohort M9</t>
  </si>
  <si>
    <t xml:space="preserve">Cohort M10</t>
  </si>
  <si>
    <t xml:space="preserve">Cohort M11</t>
  </si>
  <si>
    <t xml:space="preserve">Cohort M12</t>
  </si>
  <si>
    <t xml:space="preserve">Cohort M13</t>
  </si>
  <si>
    <t xml:space="preserve">Cohort M14</t>
  </si>
  <si>
    <t xml:space="preserve">Cohort M15</t>
  </si>
  <si>
    <t xml:space="preserve">Cohort M16</t>
  </si>
  <si>
    <t xml:space="preserve">Cohort M17</t>
  </si>
  <si>
    <t xml:space="preserve">Cohort M18</t>
  </si>
  <si>
    <t xml:space="preserve">Cohort matrix: active users x bonus rate (feeds weighted average bonus rate)</t>
  </si>
  <si>
    <t xml:space="preserve">Bonus curve by badge age (months since max(cohort start, badge launch) + 1)</t>
  </si>
  <si>
    <t xml:space="preserve">Badge age</t>
  </si>
  <si>
    <t xml:space="preserve">Age #</t>
  </si>
  <si>
    <t xml:space="preserve">Rate before AI launch</t>
  </si>
  <si>
    <t xml:space="preserve">Rate after AI launch</t>
  </si>
  <si>
    <t xml:space="preserve">Age 1</t>
  </si>
  <si>
    <t xml:space="preserve">Age 2</t>
  </si>
  <si>
    <t xml:space="preserve">Age 3</t>
  </si>
  <si>
    <t xml:space="preserve">Age 4</t>
  </si>
  <si>
    <t xml:space="preserve">Age 5</t>
  </si>
  <si>
    <t xml:space="preserve">Age 6</t>
  </si>
  <si>
    <t xml:space="preserve">Age 7</t>
  </si>
  <si>
    <t xml:space="preserve">Age 8</t>
  </si>
  <si>
    <t xml:space="preserve">Age 9</t>
  </si>
  <si>
    <t xml:space="preserve">Age 10</t>
  </si>
  <si>
    <t xml:space="preserve">Age 11</t>
  </si>
  <si>
    <t xml:space="preserve">Age 12</t>
  </si>
  <si>
    <t xml:space="preserve">Age 13</t>
  </si>
  <si>
    <t xml:space="preserve">Age 14</t>
  </si>
  <si>
    <t xml:space="preserve">Age 15</t>
  </si>
  <si>
    <t xml:space="preserve">Age 16</t>
  </si>
  <si>
    <t xml:space="preserve">Age 17</t>
  </si>
  <si>
    <t xml:space="preserve">Age 18</t>
  </si>
  <si>
    <t xml:space="preserve">Habitlock model, Base scenario</t>
  </si>
  <si>
    <t xml:space="preserve">Habitlock model, Aggressive scenario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</si>
</sst>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;\(#,##0.0\);\-"/>
    <numFmt numFmtId="167" formatCode="#,##0.00;\(#,##0.00\);\-"/>
    <numFmt numFmtId="168" formatCode="0.0%;\(0.0%\);\-"/>
    <numFmt numFmtId="169" formatCode="0"/>
    <numFmt numFmtId="170" formatCode="0.00%;\(0.00%\);\-"/>
    <numFmt numFmtId="171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5" min="3" style="0" width="22"/>
  </cols>
  <sheetData>
    <row r="1" customFormat="false" ht="17.35" hidden="false" customHeight="false" outlineLevel="0" collapsed="false">
      <c r="A1" s="3" t="s">
        <v>13</v>
      </c>
    </row>
    <row r="2" customFormat="false" ht="15" hidden="false" customHeight="false" outlineLevel="0" collapsed="false">
      <c r="A2" s="4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customFormat="false" ht="15" hidden="false" customHeight="false" outlineLevel="0" collapsed="false">
      <c r="A5" s="6" t="s">
        <v>20</v>
      </c>
      <c r="B5" s="7"/>
      <c r="C5" s="7"/>
      <c r="D5" s="7"/>
      <c r="E5" s="7"/>
    </row>
    <row r="6" customFormat="false" ht="15" hidden="false" customHeight="false" outlineLevel="0" collapsed="false">
      <c r="A6" s="2" t="s">
        <v>21</v>
      </c>
      <c r="B6" s="2" t="s">
        <v>22</v>
      </c>
      <c r="C6" s="8" t="n">
        <f aca="false">Model_Cons!U13</f>
        <v>150000</v>
      </c>
      <c r="D6" s="8" t="n">
        <f aca="false">Model_Base!U13</f>
        <v>300000</v>
      </c>
      <c r="E6" s="8" t="n">
        <f aca="false">Model_Aggr!U13</f>
        <v>600000</v>
      </c>
    </row>
    <row r="7" customFormat="false" ht="15" hidden="false" customHeight="false" outlineLevel="0" collapsed="false">
      <c r="A7" s="2" t="s">
        <v>23</v>
      </c>
      <c r="B7" s="2" t="s">
        <v>22</v>
      </c>
      <c r="C7" s="8" t="n">
        <f aca="false">Model_Cons!C10</f>
        <v>75000</v>
      </c>
      <c r="D7" s="8" t="n">
        <f aca="false">Model_Base!C10</f>
        <v>180000</v>
      </c>
      <c r="E7" s="8" t="n">
        <f aca="false">Model_Aggr!C10</f>
        <v>420000</v>
      </c>
    </row>
    <row r="8" customFormat="false" ht="15" hidden="false" customHeight="false" outlineLevel="0" collapsed="false">
      <c r="A8" s="2" t="s">
        <v>24</v>
      </c>
      <c r="B8" s="2" t="s">
        <v>22</v>
      </c>
      <c r="C8" s="8" t="n">
        <f aca="false">Model_Cons!U11</f>
        <v>30693.4606203883</v>
      </c>
      <c r="D8" s="8" t="n">
        <f aca="false">Model_Base!U11</f>
        <v>96828.952607881</v>
      </c>
      <c r="E8" s="8" t="n">
        <f aca="false">Model_Aggr!U11</f>
        <v>281987.775601603</v>
      </c>
    </row>
    <row r="9" customFormat="false" ht="15" hidden="false" customHeight="false" outlineLevel="0" collapsed="false">
      <c r="A9" s="9" t="s">
        <v>25</v>
      </c>
      <c r="B9" s="2" t="s">
        <v>26</v>
      </c>
      <c r="C9" s="10" t="n">
        <f aca="false">Model_Cons!U21/1000</f>
        <v>48.7075188912624</v>
      </c>
      <c r="D9" s="10" t="n">
        <f aca="false">Model_Base!U21/1000</f>
        <v>298.581561672071</v>
      </c>
      <c r="E9" s="10" t="n">
        <f aca="false">Model_Aggr!U21/1000</f>
        <v>1584.77982992385</v>
      </c>
    </row>
    <row r="10" customFormat="false" ht="15" hidden="false" customHeight="false" outlineLevel="0" collapsed="false">
      <c r="A10" s="2" t="s">
        <v>27</v>
      </c>
      <c r="B10" s="2" t="s">
        <v>28</v>
      </c>
      <c r="C10" s="11" t="n">
        <f aca="false">Model_Cons!U21/Model_Cons!U11</f>
        <v>1.58690215787881</v>
      </c>
      <c r="D10" s="11" t="n">
        <f aca="false">Model_Base!U21/Model_Base!U11</f>
        <v>3.08359796972305</v>
      </c>
      <c r="E10" s="11" t="n">
        <f aca="false">Model_Aggr!U21/Model_Aggr!U11</f>
        <v>5.62003025323641</v>
      </c>
    </row>
    <row r="11" customFormat="false" ht="15" hidden="false" customHeight="false" outlineLevel="0" collapsed="false">
      <c r="A11" s="2" t="s">
        <v>29</v>
      </c>
      <c r="B11" s="2" t="s">
        <v>26</v>
      </c>
      <c r="C11" s="12" t="n">
        <f aca="false">Model_Cons!U31/1000</f>
        <v>0.698516151065829</v>
      </c>
      <c r="D11" s="12" t="n">
        <f aca="false">Model_Base!U31/1000</f>
        <v>7.87331981654454</v>
      </c>
      <c r="E11" s="12" t="n">
        <f aca="false">Model_Aggr!U31/1000</f>
        <v>62.8095966961915</v>
      </c>
    </row>
    <row r="12" customFormat="false" ht="15" hidden="false" customHeight="false" outlineLevel="0" collapsed="false">
      <c r="A12" s="6" t="s">
        <v>30</v>
      </c>
      <c r="B12" s="7"/>
      <c r="C12" s="7"/>
      <c r="D12" s="7"/>
      <c r="E12" s="7"/>
    </row>
    <row r="13" customFormat="false" ht="15" hidden="false" customHeight="false" outlineLevel="0" collapsed="false">
      <c r="A13" s="2" t="s">
        <v>31</v>
      </c>
      <c r="B13" s="2" t="s">
        <v>28</v>
      </c>
      <c r="C13" s="13" t="n">
        <f aca="false">Model_Cons!C36</f>
        <v>56.3090893236657</v>
      </c>
      <c r="D13" s="13" t="n">
        <f aca="false">Model_Base!C36</f>
        <v>721.210700044014</v>
      </c>
      <c r="E13" s="13" t="n">
        <f aca="false">Model_Aggr!C36</f>
        <v>6330.09416033856</v>
      </c>
    </row>
    <row r="14" customFormat="false" ht="15" hidden="false" customHeight="false" outlineLevel="0" collapsed="false">
      <c r="A14" s="2" t="s">
        <v>32</v>
      </c>
      <c r="B14" s="2" t="s">
        <v>28</v>
      </c>
      <c r="C14" s="13" t="n">
        <f aca="false">Model_Cons!C38</f>
        <v>32.4383284206111</v>
      </c>
      <c r="D14" s="13" t="n">
        <f aca="false">Model_Base!C38</f>
        <v>233.835082041605</v>
      </c>
      <c r="E14" s="13" t="n">
        <f aca="false">Model_Aggr!C38</f>
        <v>1315.36955040819</v>
      </c>
    </row>
    <row r="15" customFormat="false" ht="15" hidden="false" customHeight="false" outlineLevel="0" collapsed="false">
      <c r="A15" s="9" t="s">
        <v>33</v>
      </c>
      <c r="B15" s="2" t="s">
        <v>34</v>
      </c>
      <c r="C15" s="14" t="n">
        <f aca="false">IF(C13&gt;0,C14/C13,0)</f>
        <v>0.576076239382154</v>
      </c>
      <c r="D15" s="14" t="n">
        <f aca="false">IF(D13&gt;0,D14/D13,0)</f>
        <v>0.324225752650833</v>
      </c>
      <c r="E15" s="14" t="n">
        <f aca="false">IF(E13&gt;0,E14/E13,0)</f>
        <v>0.207796206042192</v>
      </c>
    </row>
    <row r="16" customFormat="false" ht="15" hidden="false" customHeight="false" outlineLevel="0" collapsed="false">
      <c r="A16" s="2" t="s">
        <v>35</v>
      </c>
      <c r="B16" s="2" t="s">
        <v>28</v>
      </c>
      <c r="C16" s="13" t="n">
        <f aca="false">Model_Cons!C39</f>
        <v>15000</v>
      </c>
      <c r="D16" s="13" t="n">
        <f aca="false">Model_Base!C39</f>
        <v>21600</v>
      </c>
      <c r="E16" s="13" t="n">
        <f aca="false">Model_Aggr!C39</f>
        <v>33600</v>
      </c>
    </row>
    <row r="17" customFormat="false" ht="15" hidden="false" customHeight="false" outlineLevel="0" collapsed="false">
      <c r="A17" s="2" t="s">
        <v>36</v>
      </c>
      <c r="B17" s="2" t="s">
        <v>28</v>
      </c>
      <c r="C17" s="12" t="n">
        <f aca="false">Model_Cons!C40+Model_Cons!C41</f>
        <v>3660</v>
      </c>
      <c r="D17" s="12" t="n">
        <f aca="false">Model_Base!C40+Model_Base!C41</f>
        <v>3660</v>
      </c>
      <c r="E17" s="12" t="n">
        <f aca="false">Model_Aggr!C40+Model_Aggr!C41</f>
        <v>3660</v>
      </c>
    </row>
    <row r="18" customFormat="false" ht="15" hidden="false" customHeight="false" outlineLevel="0" collapsed="false">
      <c r="A18" s="9" t="s">
        <v>37</v>
      </c>
      <c r="B18" s="2" t="s">
        <v>28</v>
      </c>
      <c r="C18" s="10" t="n">
        <f aca="false">Model_Cons!U43</f>
        <v>-18636.1292390969</v>
      </c>
      <c r="D18" s="10" t="n">
        <f aca="false">Model_Base!U43</f>
        <v>-24772.6243819976</v>
      </c>
      <c r="E18" s="10" t="n">
        <f aca="false">Model_Aggr!U43</f>
        <v>-32245.2753900696</v>
      </c>
    </row>
    <row r="19" customFormat="false" ht="15" hidden="false" customHeight="false" outlineLevel="0" collapsed="false">
      <c r="A19" s="2" t="s">
        <v>38</v>
      </c>
      <c r="B19" s="2" t="s">
        <v>39</v>
      </c>
      <c r="C19" s="15" t="str">
        <f aca="false">IFERROR(MATCH(1,Model_Cons!D44:U44,0),"Not within 18M")</f>
        <v>Not within 18M</v>
      </c>
      <c r="D19" s="15" t="str">
        <f aca="false">IFERROR(MATCH(1,Model_Base!D44:U44,0),"Not within 18M")</f>
        <v>Not within 18M</v>
      </c>
      <c r="E19" s="15" t="str">
        <f aca="false">IFERROR(MATCH(1,Model_Aggr!D44:U44,0),"Not within 18M")</f>
        <v>Not within 18M</v>
      </c>
    </row>
    <row r="20" customFormat="false" ht="15" hidden="false" customHeight="false" outlineLevel="0" collapsed="false">
      <c r="A20" s="2" t="s">
        <v>40</v>
      </c>
      <c r="B20" s="2" t="s">
        <v>39</v>
      </c>
      <c r="C20" s="15" t="str">
        <f aca="false">IFERROR(MATCH(1,Model_Cons!D45:U45,0),"Not within 18M")</f>
        <v>Not within 18M</v>
      </c>
      <c r="D20" s="15" t="str">
        <f aca="false">IFERROR(MATCH(1,Model_Base!D45:U45,0),"Not within 18M")</f>
        <v>Not within 18M</v>
      </c>
      <c r="E20" s="15" t="str">
        <f aca="false">IFERROR(MATCH(1,Model_Aggr!D45:U45,0),"Not within 18M")</f>
        <v>Not within 18M</v>
      </c>
    </row>
    <row r="21" customFormat="false" ht="15" hidden="false" customHeight="false" outlineLevel="0" collapsed="false">
      <c r="A21" s="6" t="s">
        <v>41</v>
      </c>
      <c r="B21" s="7"/>
      <c r="C21" s="7"/>
      <c r="D21" s="7"/>
      <c r="E21" s="7"/>
    </row>
    <row r="22" customFormat="false" ht="15" hidden="false" customHeight="false" outlineLevel="0" collapsed="false">
      <c r="A22" s="9" t="s">
        <v>42</v>
      </c>
      <c r="B22" s="2" t="s">
        <v>34</v>
      </c>
      <c r="C22" s="14" t="n">
        <f aca="false">(Assumptions!$C$44-Assumptions!$C$43)/(1-Assumptions!$C$43)</f>
        <v>0.473684210526316</v>
      </c>
      <c r="D22" s="14" t="n">
        <f aca="false">(Assumptions!$D$44-Assumptions!$D$43)/(1-Assumptions!$D$43)</f>
        <v>0.473684210526316</v>
      </c>
      <c r="E22" s="14" t="n">
        <f aca="false">(Assumptions!$E$44-Assumptions!$E$43)/(1-Assumptions!$E$43)</f>
        <v>0.473684210526316</v>
      </c>
    </row>
    <row r="23" customFormat="false" ht="15" hidden="false" customHeight="false" outlineLevel="0" collapsed="false">
      <c r="A23" s="2" t="s">
        <v>43</v>
      </c>
      <c r="B23" s="2" t="s">
        <v>34</v>
      </c>
      <c r="C23" s="16" t="n">
        <f aca="false">Assumptions!$C$22</f>
        <v>0.1</v>
      </c>
      <c r="D23" s="16" t="n">
        <f aca="false">Assumptions!$D$22</f>
        <v>0.2</v>
      </c>
      <c r="E23" s="16" t="n">
        <f aca="false">Assumptions!$E$22</f>
        <v>0.35</v>
      </c>
    </row>
    <row r="24" customFormat="false" ht="15" hidden="false" customHeight="false" outlineLevel="0" collapsed="false">
      <c r="A24" s="2" t="s">
        <v>44</v>
      </c>
      <c r="B24" s="2" t="s">
        <v>39</v>
      </c>
      <c r="C24" s="15" t="n">
        <f aca="false">Assumptions!$C$32+3</f>
        <v>7</v>
      </c>
      <c r="D24" s="15" t="n">
        <f aca="false">Assumptions!$D$32+3</f>
        <v>7</v>
      </c>
      <c r="E24" s="15" t="n">
        <f aca="false">Assumptions!$E$32+3</f>
        <v>7</v>
      </c>
    </row>
    <row r="25" customFormat="false" ht="15" hidden="false" customHeight="false" outlineLevel="0" collapsed="false">
      <c r="A25" s="2" t="s">
        <v>45</v>
      </c>
      <c r="B25" s="2" t="s">
        <v>39</v>
      </c>
      <c r="C25" s="17" t="n">
        <f aca="false">Assumptions!$C$34</f>
        <v>6</v>
      </c>
      <c r="D25" s="17" t="n">
        <f aca="false">Assumptions!$D$34</f>
        <v>6</v>
      </c>
      <c r="E25" s="17" t="n">
        <f aca="false">Assumptions!$E$34</f>
        <v>6</v>
      </c>
    </row>
    <row r="26" customFormat="false" ht="15" hidden="false" customHeight="false" outlineLevel="0" collapsed="false">
      <c r="A26" s="9" t="s">
        <v>46</v>
      </c>
      <c r="B26" s="2"/>
      <c r="C26" s="9" t="str">
        <f aca="false">IF(C24&gt;C25,"CONFLICT: Lv4 arrives after Phase 3","OK")</f>
        <v>CONFLICT: Lv4 arrives after Phase 3</v>
      </c>
      <c r="D26" s="9" t="str">
        <f aca="false">IF(D24&gt;D25,"CONFLICT: Lv4 arrives after Phase 3","OK")</f>
        <v>CONFLICT: Lv4 arrives after Phase 3</v>
      </c>
      <c r="E26" s="9" t="str">
        <f aca="false">IF(E24&gt;E25,"CONFLICT: Lv4 arrives after Phase 3","OK")</f>
        <v>CONFLICT: Lv4 arrives after Phase 3</v>
      </c>
    </row>
    <row r="27" customFormat="false" ht="15" hidden="false" customHeight="false" outlineLevel="0" collapsed="false">
      <c r="A27" s="2" t="s">
        <v>47</v>
      </c>
      <c r="B27" s="2" t="s">
        <v>34</v>
      </c>
      <c r="C27" s="16" t="n">
        <f aca="false">Assumptions!$C$14</f>
        <v>0.05</v>
      </c>
      <c r="D27" s="16" t="n">
        <f aca="false">Assumptions!$D$14</f>
        <v>0.1</v>
      </c>
      <c r="E27" s="16" t="n">
        <f aca="false">Assumptions!$E$14</f>
        <v>0.2</v>
      </c>
    </row>
    <row r="28" customFormat="false" ht="15" hidden="false" customHeight="false" outlineLevel="0" collapsed="false">
      <c r="A28" s="6" t="s">
        <v>48</v>
      </c>
      <c r="B28" s="7"/>
      <c r="C28" s="7"/>
      <c r="D28" s="7"/>
      <c r="E28" s="7"/>
    </row>
    <row r="29" customFormat="false" ht="15" hidden="false" customHeight="false" outlineLevel="0" collapsed="false">
      <c r="A29" s="2" t="s">
        <v>49</v>
      </c>
      <c r="B29" s="2" t="s">
        <v>50</v>
      </c>
      <c r="C29" s="2" t="str">
        <f aca="false">IF(ABS(Model_Cons!C10-Assumptions!$C$14*Assumptions!$C$12*Assumptions!$C$15)&lt;1,"OK","ERROR")</f>
        <v>OK</v>
      </c>
      <c r="D29" s="2" t="str">
        <f aca="false">IF(ABS(Model_Base!C10-Assumptions!$D$14*Assumptions!$D$12*Assumptions!$D$15)&lt;1,"OK","ERROR")</f>
        <v>OK</v>
      </c>
      <c r="E29" s="2" t="str">
        <f aca="false">IF(ABS(Model_Aggr!C10-Assumptions!$E$14*Assumptions!$E$12*Assumptions!$E$15)&lt;1,"OK","ERROR")</f>
        <v>OK</v>
      </c>
    </row>
    <row r="30" customFormat="false" ht="15" hidden="false" customHeight="false" outlineLevel="0" collapsed="false">
      <c r="A30" s="2" t="s">
        <v>51</v>
      </c>
      <c r="B30" s="2" t="s">
        <v>50</v>
      </c>
      <c r="C30" s="2" t="str">
        <f aca="false">IF(MIN(Model_Cons!D21:U21)&gt;=0,"OK","ERROR")</f>
        <v>OK</v>
      </c>
      <c r="D30" s="2" t="str">
        <f aca="false">IF(MIN(Model_Base!D21:U21)&gt;=0,"OK","ERROR")</f>
        <v>OK</v>
      </c>
      <c r="E30" s="2" t="str">
        <f aca="false">IF(MIN(Model_Aggr!D21:U21)&gt;=0,"OK","ERROR")</f>
        <v>OK</v>
      </c>
    </row>
    <row r="31" customFormat="false" ht="15" hidden="false" customHeight="false" outlineLevel="0" collapsed="false">
      <c r="A31" s="2" t="s">
        <v>52</v>
      </c>
      <c r="B31" s="2" t="s">
        <v>50</v>
      </c>
      <c r="C31" s="2" t="str">
        <f aca="false">IF(ABS(SUM(Model_Cons!D7:U7)-1)&lt;0.0001,"OK","ERROR")</f>
        <v>OK</v>
      </c>
      <c r="D31" s="2" t="str">
        <f aca="false">IF(ABS(SUM(Model_Base!D7:U7)-1)&lt;0.0001,"OK","ERROR")</f>
        <v>OK</v>
      </c>
      <c r="E31" s="2" t="str">
        <f aca="false">IF(ABS(SUM(Model_Aggr!D7:U7)-1)&lt;0.0001,"OK","ERROR")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5" min="3" style="0" width="18"/>
  </cols>
  <sheetData>
    <row r="1" customFormat="false" ht="17.35" hidden="false" customHeight="false" outlineLevel="0" collapsed="false">
      <c r="A1" s="3" t="s">
        <v>53</v>
      </c>
    </row>
    <row r="2" customFormat="false" ht="15" hidden="false" customHeight="false" outlineLevel="0" collapsed="false">
      <c r="A2" s="4" t="s">
        <v>54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customFormat="false" ht="15" hidden="false" customHeight="false" outlineLevel="0" collapsed="false">
      <c r="A5" s="2" t="s">
        <v>55</v>
      </c>
      <c r="B5" s="2" t="s">
        <v>28</v>
      </c>
      <c r="C5" s="11" t="n">
        <f aca="false">Model_Cons!U21/Model_Cons!U11</f>
        <v>1.58690215787881</v>
      </c>
      <c r="D5" s="11" t="n">
        <f aca="false">Model_Base!U21/Model_Base!U11</f>
        <v>3.08359796972305</v>
      </c>
      <c r="E5" s="11" t="n">
        <f aca="false">Model_Aggr!U21/Model_Aggr!U11</f>
        <v>5.62003025323641</v>
      </c>
    </row>
    <row r="6" customFormat="false" ht="15" hidden="false" customHeight="false" outlineLevel="0" collapsed="false">
      <c r="A6" s="2" t="s">
        <v>56</v>
      </c>
      <c r="B6" s="2" t="s">
        <v>34</v>
      </c>
      <c r="C6" s="18" t="n">
        <f aca="false">Model_Cons!U22</f>
        <v>0.05</v>
      </c>
      <c r="D6" s="18" t="n">
        <f aca="false">Model_Base!U22</f>
        <v>0.1</v>
      </c>
      <c r="E6" s="18" t="n">
        <f aca="false">Model_Aggr!U22</f>
        <v>0.2</v>
      </c>
    </row>
    <row r="7" customFormat="false" ht="15" hidden="false" customHeight="false" outlineLevel="0" collapsed="false">
      <c r="A7" s="2" t="s">
        <v>57</v>
      </c>
      <c r="B7" s="2" t="s">
        <v>58</v>
      </c>
      <c r="C7" s="19" t="n">
        <f aca="false">(1-C6)*Assumptions!$C$24+C6*Assumptions!$C$25</f>
        <v>0.0031</v>
      </c>
      <c r="D7" s="19" t="n">
        <f aca="false">(1-D6)*Assumptions!$D$24+D6*Assumptions!$D$25</f>
        <v>0.0053</v>
      </c>
      <c r="E7" s="19" t="n">
        <f aca="false">(1-E6)*Assumptions!$E$24+E6*Assumptions!$E$25</f>
        <v>0.0076</v>
      </c>
    </row>
    <row r="8" customFormat="false" ht="15" hidden="false" customHeight="false" outlineLevel="0" collapsed="false">
      <c r="A8" s="2" t="s">
        <v>59</v>
      </c>
      <c r="B8" s="2" t="s">
        <v>34</v>
      </c>
      <c r="C8" s="18" t="n">
        <f aca="false">Assumptions!$C$26</f>
        <v>0.5</v>
      </c>
      <c r="D8" s="18" t="n">
        <f aca="false">Assumptions!$D$26</f>
        <v>0.7</v>
      </c>
      <c r="E8" s="18" t="n">
        <f aca="false">Assumptions!$E$26</f>
        <v>0.9</v>
      </c>
    </row>
    <row r="9" customFormat="false" ht="15" hidden="false" customHeight="false" outlineLevel="0" collapsed="false">
      <c r="A9" s="2" t="s">
        <v>60</v>
      </c>
      <c r="B9" s="2" t="s">
        <v>61</v>
      </c>
      <c r="C9" s="12" t="n">
        <f aca="false">C5*C7*C8*Assumptions!$C$7/Assumptions!$C$8</f>
        <v>2.45969834471215</v>
      </c>
      <c r="D9" s="12" t="n">
        <f aca="false">D5*D7*D8*Assumptions!$D$7/Assumptions!$D$8</f>
        <v>11.4401484676725</v>
      </c>
      <c r="E9" s="12" t="n">
        <f aca="false">E5*E7*E8*Assumptions!$E$7/Assumptions!$E$8</f>
        <v>38.441006932137</v>
      </c>
    </row>
    <row r="10" customFormat="false" ht="15" hidden="false" customHeight="false" outlineLevel="0" collapsed="false">
      <c r="A10" s="2" t="s">
        <v>62</v>
      </c>
      <c r="B10" s="2" t="s">
        <v>58</v>
      </c>
      <c r="C10" s="19" t="n">
        <f aca="false">Model_Cons!U37</f>
        <v>0.00106706851505753</v>
      </c>
      <c r="D10" s="19" t="n">
        <f aca="false">Model_Base!U37</f>
        <v>0.00150875095696643</v>
      </c>
      <c r="E10" s="19" t="n">
        <f aca="false">Model_Aggr!U37</f>
        <v>0.00199236058005169</v>
      </c>
    </row>
    <row r="11" customFormat="false" ht="15" hidden="false" customHeight="false" outlineLevel="0" collapsed="false">
      <c r="A11" s="2" t="s">
        <v>63</v>
      </c>
      <c r="B11" s="2" t="s">
        <v>61</v>
      </c>
      <c r="C11" s="12" t="n">
        <f aca="false">C5*(1-C6)*C10*Assumptions!$C$7/Assumptions!$C$8</f>
        <v>1.60866666269186</v>
      </c>
      <c r="D11" s="12" t="n">
        <f aca="false">D5*(1-D6)*D10*Assumptions!$D$7/Assumptions!$D$8</f>
        <v>4.18714324894746</v>
      </c>
      <c r="E11" s="12" t="n">
        <f aca="false">E5*(1-E6)*E10*Assumptions!$E$7/Assumptions!$E$8</f>
        <v>8.95770138819691</v>
      </c>
    </row>
    <row r="12" customFormat="false" ht="15" hidden="false" customHeight="false" outlineLevel="0" collapsed="false">
      <c r="A12" s="9" t="s">
        <v>64</v>
      </c>
      <c r="B12" s="2" t="s">
        <v>61</v>
      </c>
      <c r="C12" s="10" t="n">
        <f aca="false">C9-C11</f>
        <v>0.851031682020289</v>
      </c>
      <c r="D12" s="10" t="n">
        <f aca="false">D9-D11</f>
        <v>7.25300521872506</v>
      </c>
      <c r="E12" s="10" t="n">
        <f aca="false">E9-E11</f>
        <v>29.4833055439401</v>
      </c>
    </row>
    <row r="13" customFormat="false" ht="15" hidden="false" customHeight="false" outlineLevel="0" collapsed="false">
      <c r="A13" s="2" t="s">
        <v>65</v>
      </c>
      <c r="B13" s="2" t="s">
        <v>61</v>
      </c>
      <c r="C13" s="11" t="n">
        <f aca="false">C12/12</f>
        <v>0.0709193068350241</v>
      </c>
      <c r="D13" s="11" t="n">
        <f aca="false">D12/12</f>
        <v>0.604417101560421</v>
      </c>
      <c r="E13" s="11" t="n">
        <f aca="false">E12/12</f>
        <v>2.45694212866168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12" t="n">
        <f aca="false">1/Assumptions!$C$18</f>
        <v>8.33333333333333</v>
      </c>
      <c r="D14" s="12" t="n">
        <f aca="false">1/Assumptions!$D$18</f>
        <v>12.5</v>
      </c>
      <c r="E14" s="12" t="n">
        <f aca="false">1/Assumptions!$E$18</f>
        <v>20</v>
      </c>
    </row>
    <row r="15" customFormat="false" ht="15" hidden="false" customHeight="false" outlineLevel="0" collapsed="false">
      <c r="A15" s="9" t="s">
        <v>68</v>
      </c>
      <c r="B15" s="2" t="s">
        <v>61</v>
      </c>
      <c r="C15" s="10" t="n">
        <f aca="false">C13*C14</f>
        <v>0.590994223625201</v>
      </c>
      <c r="D15" s="10" t="n">
        <f aca="false">D13*D14</f>
        <v>7.55521376950527</v>
      </c>
      <c r="E15" s="10" t="n">
        <f aca="false">E13*E14</f>
        <v>49.1388425732335</v>
      </c>
    </row>
    <row r="16" customFormat="false" ht="15" hidden="false" customHeight="false" outlineLevel="0" collapsed="false">
      <c r="A16" s="2" t="s">
        <v>69</v>
      </c>
      <c r="B16" s="2" t="s">
        <v>61</v>
      </c>
      <c r="C16" s="12" t="n">
        <f aca="false">Assumptions!$C$16/Assumptions!$C$8</f>
        <v>200</v>
      </c>
      <c r="D16" s="12" t="n">
        <f aca="false">Assumptions!$D$16/Assumptions!$D$8</f>
        <v>120</v>
      </c>
      <c r="E16" s="12" t="n">
        <f aca="false">Assumptions!$E$16/Assumptions!$E$8</f>
        <v>80</v>
      </c>
    </row>
    <row r="17" customFormat="false" ht="15" hidden="false" customHeight="false" outlineLevel="0" collapsed="false">
      <c r="A17" s="9" t="s">
        <v>70</v>
      </c>
      <c r="B17" s="2" t="s">
        <v>71</v>
      </c>
      <c r="C17" s="20" t="n">
        <f aca="false">IF(C16&gt;0,C15/C16,0)</f>
        <v>0.002954971118126</v>
      </c>
      <c r="D17" s="20" t="n">
        <f aca="false">IF(D16&gt;0,D15/D16,0)</f>
        <v>0.0629601147458772</v>
      </c>
      <c r="E17" s="20" t="n">
        <f aca="false">IF(E16&gt;0,E15/E16,0)</f>
        <v>0.614235532165419</v>
      </c>
    </row>
    <row r="18" customFormat="false" ht="15" hidden="false" customHeight="false" outlineLevel="0" collapsed="false">
      <c r="A18" s="9" t="s">
        <v>72</v>
      </c>
      <c r="B18" s="2" t="s">
        <v>67</v>
      </c>
      <c r="C18" s="10" t="n">
        <f aca="false">IF(C13&gt;0,C16/C13,"Never")</f>
        <v>2820.10652564963</v>
      </c>
      <c r="D18" s="10" t="n">
        <f aca="false">IF(D13&gt;0,D16/D13,"Never")</f>
        <v>198.538392924681</v>
      </c>
      <c r="E18" s="10" t="n">
        <f aca="false">IF(E13&gt;0,E16/E13,"Never")</f>
        <v>32.5607994859761</v>
      </c>
    </row>
    <row r="19" customFormat="false" ht="15" hidden="false" customHeight="false" outlineLevel="0" collapsed="false">
      <c r="A19" s="2" t="s">
        <v>73</v>
      </c>
      <c r="B19" s="2" t="s">
        <v>58</v>
      </c>
      <c r="C19" s="19" t="n">
        <f aca="false">IF(C6&lt;1,C7*C8/(1-C6),0)</f>
        <v>0.00163157894736842</v>
      </c>
      <c r="D19" s="19" t="n">
        <f aca="false">IF(D6&lt;1,D7*D8/(1-D6),0)</f>
        <v>0.00412222222222222</v>
      </c>
      <c r="E19" s="19" t="n">
        <f aca="false">IF(E6&lt;1,E7*E8/(1-E6),0)</f>
        <v>0.00855</v>
      </c>
    </row>
    <row r="20" customFormat="false" ht="15" hidden="false" customHeight="false" outlineLevel="0" collapsed="false">
      <c r="A20" s="9" t="s">
        <v>74</v>
      </c>
      <c r="B20" s="2" t="s">
        <v>58</v>
      </c>
      <c r="C20" s="21" t="n">
        <f aca="false">C19-C10</f>
        <v>0.000564510432310892</v>
      </c>
      <c r="D20" s="21" t="n">
        <f aca="false">D19-D10</f>
        <v>0.00261347126525579</v>
      </c>
      <c r="E20" s="21" t="n">
        <f aca="false">E19-E10</f>
        <v>0.00655763941994831</v>
      </c>
    </row>
    <row r="22" customFormat="false" ht="15" hidden="false" customHeight="false" outlineLevel="0" collapsed="false">
      <c r="A22" s="6" t="s">
        <v>75</v>
      </c>
      <c r="B22" s="7"/>
      <c r="C22" s="7"/>
      <c r="D22" s="7"/>
      <c r="E22" s="7"/>
    </row>
    <row r="23" customFormat="false" ht="15" hidden="false" customHeight="false" outlineLevel="0" collapsed="false">
      <c r="A23" s="2" t="s">
        <v>76</v>
      </c>
      <c r="B23" s="2" t="s">
        <v>58</v>
      </c>
      <c r="C23" s="19" t="n">
        <f aca="false">C7*C8-(1-C6)*C10</f>
        <v>0.000536284910695347</v>
      </c>
      <c r="D23" s="19" t="n">
        <f aca="false">D7*D8-(1-D6)*D10</f>
        <v>0.00235212413873021</v>
      </c>
      <c r="E23" s="19" t="n">
        <f aca="false">E7*E8-(1-E6)*E10</f>
        <v>0.00524611153595865</v>
      </c>
    </row>
    <row r="24" customFormat="false" ht="15" hidden="false" customHeight="false" outlineLevel="0" collapsed="false">
      <c r="A24" s="9" t="s">
        <v>77</v>
      </c>
      <c r="B24" s="2" t="s">
        <v>26</v>
      </c>
      <c r="C24" s="10" t="n">
        <f aca="false">IF(C23&gt;0,Assumptions!$C$41*12/Assumptions!$C$7/C23/1000,"Never")</f>
        <v>2685.1398786009</v>
      </c>
      <c r="D24" s="10" t="n">
        <f aca="false">IF(D23&gt;0,Assumptions!$D$41*12/Assumptions!$D$7/D23/1000,"Never")</f>
        <v>612.212585334625</v>
      </c>
      <c r="E24" s="10" t="n">
        <f aca="false">IF(E23&gt;0,Assumptions!$E$41*12/Assumptions!$E$7/E23/1000,"Never")</f>
        <v>274.489017271125</v>
      </c>
    </row>
    <row r="25" customFormat="false" ht="15" hidden="false" customHeight="false" outlineLevel="0" collapsed="false">
      <c r="A25" s="2" t="s">
        <v>78</v>
      </c>
      <c r="B25" s="2" t="s">
        <v>26</v>
      </c>
      <c r="C25" s="12" t="n">
        <f aca="false">Model_Cons!U21/1000</f>
        <v>48.7075188912624</v>
      </c>
      <c r="D25" s="12" t="n">
        <f aca="false">Model_Base!U21/1000</f>
        <v>298.581561672071</v>
      </c>
      <c r="E25" s="12" t="n">
        <f aca="false">Model_Aggr!U21/1000</f>
        <v>1584.77982992385</v>
      </c>
    </row>
    <row r="26" customFormat="false" ht="15" hidden="false" customHeight="false" outlineLevel="0" collapsed="false">
      <c r="A26" s="9" t="s">
        <v>79</v>
      </c>
      <c r="B26" s="2" t="s">
        <v>71</v>
      </c>
      <c r="C26" s="20" t="n">
        <f aca="false">IF(ISNUMBER(C24),C25/C24,0)</f>
        <v>0.0181396579297171</v>
      </c>
      <c r="D26" s="20" t="n">
        <f aca="false">IF(ISNUMBER(D24),D25/D24,0)</f>
        <v>0.487708957353224</v>
      </c>
      <c r="E26" s="20" t="n">
        <f aca="false">IF(ISNUMBER(E24),E25/E24,0)</f>
        <v>5.77356371369312</v>
      </c>
    </row>
    <row r="27" customFormat="false" ht="15" hidden="false" customHeight="false" outlineLevel="0" collapsed="false">
      <c r="A27" s="9" t="s">
        <v>80</v>
      </c>
      <c r="B27" s="2" t="s">
        <v>61</v>
      </c>
      <c r="C27" s="10" t="n">
        <f aca="false">C15/3</f>
        <v>0.196998074541734</v>
      </c>
      <c r="D27" s="10" t="n">
        <f aca="false">D15/3</f>
        <v>2.51840458983509</v>
      </c>
      <c r="E27" s="10" t="n">
        <f aca="false">E15/3</f>
        <v>16.3796141910778</v>
      </c>
    </row>
    <row r="28" customFormat="false" ht="15" hidden="false" customHeight="false" outlineLevel="0" collapsed="false">
      <c r="A28" s="9" t="s">
        <v>81</v>
      </c>
      <c r="B28" s="2" t="s">
        <v>28</v>
      </c>
      <c r="C28" s="10" t="n">
        <f aca="false">IF(C23&gt;0,3*C16*12/C14/(C23*Assumptions!$C$7/Assumptions!$C$8),"Never")</f>
        <v>1611.08392716054</v>
      </c>
      <c r="D28" s="10" t="n">
        <f aca="false">IF(D23&gt;0,3*D16*12/D14/(D23*Assumptions!$D$7/Assumptions!$D$8),"Never")</f>
        <v>146.93102048031</v>
      </c>
      <c r="E28" s="10" t="n">
        <f aca="false">IF(E23&gt;0,3*E16*12/E14/(E23*Assumptions!$E$7/Assumptions!$E$8),"Never")</f>
        <v>27.4489017271125</v>
      </c>
    </row>
    <row r="30" customFormat="false" ht="15" hidden="false" customHeight="false" outlineLevel="0" collapsed="false">
      <c r="A30" s="4" t="s">
        <v>82</v>
      </c>
    </row>
  </sheetData>
  <conditionalFormatting sqref="C12:E12">
    <cfRule type="cellIs" priority="2" operator="lessThan" aboveAverage="0" equalAverage="0" bottom="0" percent="0" rank="0" text="" dxfId="0">
      <formula>0</formula>
    </cfRule>
  </conditionalFormatting>
  <conditionalFormatting sqref="C20:E20">
    <cfRule type="cellIs" priority="3" operator="lessThan" aboveAverage="0" equalAverage="0" bottom="0" percent="0" rank="0" text="" dxfId="0">
      <formula>0</formula>
    </cfRule>
  </conditionalFormatting>
  <conditionalFormatting sqref="C26:E26">
    <cfRule type="cellIs" priority="4" operator="less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3" t="s">
        <v>83</v>
      </c>
    </row>
    <row r="2" customFormat="false" ht="15" hidden="false" customHeight="false" outlineLevel="0" collapsed="false">
      <c r="A2" s="4" t="s">
        <v>84</v>
      </c>
    </row>
    <row r="4" customFormat="false" ht="15" hidden="false" customHeight="false" outlineLevel="0" collapsed="false">
      <c r="A4" s="6" t="s">
        <v>85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5" t="s">
        <v>86</v>
      </c>
      <c r="B5" s="5" t="s">
        <v>87</v>
      </c>
      <c r="C5" s="5" t="s">
        <v>17</v>
      </c>
      <c r="D5" s="5" t="s">
        <v>18</v>
      </c>
      <c r="E5" s="5" t="s">
        <v>19</v>
      </c>
    </row>
    <row r="6" customFormat="false" ht="15" hidden="false" customHeight="false" outlineLevel="0" collapsed="false">
      <c r="A6" s="22" t="str">
        <f aca="false">Assumptions!A48&amp;" "&amp;Assumptions!B48</f>
        <v>Lv1 Saving Rookie</v>
      </c>
      <c r="B6" s="23" t="n">
        <f aca="false">Assumptions!C48</f>
        <v>0.0005</v>
      </c>
      <c r="C6" s="19" t="n">
        <f aca="false">Assumptions!$C$24*Assumptions!$C$26-$B6</f>
        <v>0.001</v>
      </c>
      <c r="D6" s="19" t="n">
        <f aca="false">Assumptions!$D$24*Assumptions!$D$26-$B6</f>
        <v>0.003</v>
      </c>
      <c r="E6" s="19" t="n">
        <f aca="false">Assumptions!$E$24*Assumptions!$E$26-$B6</f>
        <v>0.0058</v>
      </c>
    </row>
    <row r="7" customFormat="false" ht="15" hidden="false" customHeight="false" outlineLevel="0" collapsed="false">
      <c r="A7" s="22" t="str">
        <f aca="false">Assumptions!A49&amp;" "&amp;Assumptions!B49</f>
        <v>Lv2 Steady Cash Flow</v>
      </c>
      <c r="B7" s="23" t="n">
        <f aca="false">Assumptions!C49</f>
        <v>0.001</v>
      </c>
      <c r="C7" s="19" t="n">
        <f aca="false">Assumptions!$C$24*Assumptions!$C$26-$B7</f>
        <v>0.0005</v>
      </c>
      <c r="D7" s="19" t="n">
        <f aca="false">Assumptions!$D$24*Assumptions!$D$26-$B7</f>
        <v>0.0025</v>
      </c>
      <c r="E7" s="19" t="n">
        <f aca="false">Assumptions!$E$24*Assumptions!$E$26-$B7</f>
        <v>0.0053</v>
      </c>
    </row>
    <row r="8" customFormat="false" ht="15" hidden="false" customHeight="false" outlineLevel="0" collapsed="false">
      <c r="A8" s="22" t="str">
        <f aca="false">Assumptions!A50&amp;" "&amp;Assumptions!B50</f>
        <v>Lv3 Motivation Builder</v>
      </c>
      <c r="B8" s="23" t="n">
        <f aca="false">Assumptions!C50</f>
        <v>0.0015</v>
      </c>
      <c r="C8" s="19" t="n">
        <f aca="false">Assumptions!$C$24*Assumptions!$C$26-$B8</f>
        <v>0</v>
      </c>
      <c r="D8" s="19" t="n">
        <f aca="false">Assumptions!$D$24*Assumptions!$D$26-$B8</f>
        <v>0.002</v>
      </c>
      <c r="E8" s="19" t="n">
        <f aca="false">Assumptions!$E$24*Assumptions!$E$26-$B8</f>
        <v>0.0048</v>
      </c>
    </row>
    <row r="9" customFormat="false" ht="15" hidden="false" customHeight="false" outlineLevel="0" collapsed="false">
      <c r="A9" s="22" t="str">
        <f aca="false">Assumptions!A51&amp;" "&amp;Assumptions!B51</f>
        <v>Lv4 Accumulation Master</v>
      </c>
      <c r="B9" s="23" t="n">
        <f aca="false">Assumptions!C51</f>
        <v>0.0025</v>
      </c>
      <c r="C9" s="19" t="n">
        <f aca="false">Assumptions!$C$24*Assumptions!$C$26-$B9</f>
        <v>-0.001</v>
      </c>
      <c r="D9" s="19" t="n">
        <f aca="false">Assumptions!$D$24*Assumptions!$D$26-$B9</f>
        <v>0.001</v>
      </c>
      <c r="E9" s="19" t="n">
        <f aca="false">Assumptions!$E$24*Assumptions!$E$26-$B9</f>
        <v>0.0038</v>
      </c>
    </row>
    <row r="10" customFormat="false" ht="15" hidden="false" customHeight="false" outlineLevel="0" collapsed="false">
      <c r="A10" s="22" t="str">
        <f aca="false">Assumptions!A52&amp;" "&amp;Assumptions!B52</f>
        <v>Lv5 Habit Investor</v>
      </c>
      <c r="B10" s="23" t="n">
        <f aca="false">Assumptions!C52</f>
        <v>0.003</v>
      </c>
      <c r="C10" s="19" t="n">
        <f aca="false">Assumptions!$C$24*Assumptions!$C$26-$B10</f>
        <v>-0.0015</v>
      </c>
      <c r="D10" s="19" t="n">
        <f aca="false">Assumptions!$D$24*Assumptions!$D$26-$B10</f>
        <v>0.0005</v>
      </c>
      <c r="E10" s="19" t="n">
        <f aca="false">Assumptions!$E$24*Assumptions!$E$26-$B10</f>
        <v>0.0033</v>
      </c>
    </row>
    <row r="11" customFormat="false" ht="15" hidden="false" customHeight="false" outlineLevel="0" collapsed="false">
      <c r="A11" s="22" t="str">
        <f aca="false">Assumptions!A53&amp;" "&amp;Assumptions!B53</f>
        <v>Lv6 Growth Seeker</v>
      </c>
      <c r="B11" s="23" t="n">
        <f aca="false">Assumptions!C53</f>
        <v>0.004</v>
      </c>
      <c r="C11" s="19" t="n">
        <f aca="false">Assumptions!$C$24*Assumptions!$C$26-$B11</f>
        <v>-0.0025</v>
      </c>
      <c r="D11" s="19" t="n">
        <f aca="false">Assumptions!$D$24*Assumptions!$D$26-$B11</f>
        <v>-0.0005</v>
      </c>
      <c r="E11" s="19" t="n">
        <f aca="false">Assumptions!$E$24*Assumptions!$E$26-$B11</f>
        <v>0.0023</v>
      </c>
    </row>
    <row r="12" customFormat="false" ht="15" hidden="false" customHeight="false" outlineLevel="0" collapsed="false">
      <c r="A12" s="4" t="s">
        <v>88</v>
      </c>
    </row>
    <row r="14" customFormat="false" ht="15" hidden="false" customHeight="false" outlineLevel="0" collapsed="false">
      <c r="A14" s="6" t="s">
        <v>89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4" t="s">
        <v>90</v>
      </c>
    </row>
    <row r="16" customFormat="false" ht="15" hidden="false" customHeight="false" outlineLevel="0" collapsed="false">
      <c r="A16" s="1" t="s">
        <v>91</v>
      </c>
      <c r="B16" s="24" t="n">
        <v>0.5</v>
      </c>
      <c r="C16" s="24" t="n">
        <v>1</v>
      </c>
      <c r="D16" s="24" t="n">
        <v>1.5</v>
      </c>
      <c r="E16" s="24" t="n">
        <v>2</v>
      </c>
      <c r="F16" s="24" t="n">
        <v>3</v>
      </c>
    </row>
    <row r="17" customFormat="false" ht="15" hidden="false" customHeight="false" outlineLevel="0" collapsed="false">
      <c r="A17" s="24" t="n">
        <v>0.5</v>
      </c>
      <c r="B17" s="12" t="n">
        <f aca="false">12*(Model_Base!U36*$A17-Model_Base!U38*B$16-Model_Base!U41)</f>
        <v>-1094.82588161755</v>
      </c>
      <c r="C17" s="12" t="n">
        <f aca="false">12*(Model_Base!U36*$A17-Model_Base!U38*C$16-Model_Base!U41)</f>
        <v>-1294.09410712015</v>
      </c>
      <c r="D17" s="12" t="n">
        <f aca="false">12*(Model_Base!U36*$A17-Model_Base!U38*D$16-Model_Base!U41)</f>
        <v>-1493.36233262276</v>
      </c>
      <c r="E17" s="12" t="n">
        <f aca="false">12*(Model_Base!U36*$A17-Model_Base!U38*E$16-Model_Base!U41)</f>
        <v>-1692.63055812536</v>
      </c>
      <c r="F17" s="12" t="n">
        <f aca="false">12*(Model_Base!U36*$A17-Model_Base!U38*F$16-Model_Base!U41)</f>
        <v>-2091.16700913057</v>
      </c>
    </row>
    <row r="18" customFormat="false" ht="15" hidden="false" customHeight="false" outlineLevel="0" collapsed="false">
      <c r="A18" s="24" t="n">
        <v>0.75</v>
      </c>
      <c r="B18" s="12" t="n">
        <f aca="false">12*(Model_Base!U36*$A18-Model_Base!U38*B$16-Model_Base!U41)</f>
        <v>-822.604709675023</v>
      </c>
      <c r="C18" s="12" t="n">
        <f aca="false">12*(Model_Base!U36*$A18-Model_Base!U38*C$16-Model_Base!U41)</f>
        <v>-1021.87293517763</v>
      </c>
      <c r="D18" s="12" t="n">
        <f aca="false">12*(Model_Base!U36*$A18-Model_Base!U38*D$16-Model_Base!U41)</f>
        <v>-1221.14116068023</v>
      </c>
      <c r="E18" s="12" t="n">
        <f aca="false">12*(Model_Base!U36*$A18-Model_Base!U38*E$16-Model_Base!U41)</f>
        <v>-1420.40938618284</v>
      </c>
      <c r="F18" s="12" t="n">
        <f aca="false">12*(Model_Base!U36*$A18-Model_Base!U38*F$16-Model_Base!U41)</f>
        <v>-1818.94583718804</v>
      </c>
    </row>
    <row r="19" customFormat="false" ht="15" hidden="false" customHeight="false" outlineLevel="0" collapsed="false">
      <c r="A19" s="24" t="n">
        <v>1</v>
      </c>
      <c r="B19" s="12" t="n">
        <f aca="false">12*(Model_Base!U36*$A19-Model_Base!U38*B$16-Model_Base!U41)</f>
        <v>-550.383537732496</v>
      </c>
      <c r="C19" s="12" t="n">
        <f aca="false">12*(Model_Base!U36*$A19-Model_Base!U38*C$16-Model_Base!U41)</f>
        <v>-749.6517632351</v>
      </c>
      <c r="D19" s="12" t="n">
        <f aca="false">12*(Model_Base!U36*$A19-Model_Base!U38*D$16-Model_Base!U41)</f>
        <v>-948.919988737704</v>
      </c>
      <c r="E19" s="12" t="n">
        <f aca="false">12*(Model_Base!U36*$A19-Model_Base!U38*E$16-Model_Base!U41)</f>
        <v>-1148.18821424031</v>
      </c>
      <c r="F19" s="12" t="n">
        <f aca="false">12*(Model_Base!U36*$A19-Model_Base!U38*F$16-Model_Base!U41)</f>
        <v>-1546.72466524552</v>
      </c>
    </row>
    <row r="20" customFormat="false" ht="15" hidden="false" customHeight="false" outlineLevel="0" collapsed="false">
      <c r="A20" s="24" t="n">
        <v>1.25</v>
      </c>
      <c r="B20" s="12" t="n">
        <f aca="false">12*(Model_Base!U36*$A20-Model_Base!U38*B$16-Model_Base!U41)</f>
        <v>-278.162365789969</v>
      </c>
      <c r="C20" s="12" t="n">
        <f aca="false">12*(Model_Base!U36*$A20-Model_Base!U38*C$16-Model_Base!U41)</f>
        <v>-477.430591292573</v>
      </c>
      <c r="D20" s="12" t="n">
        <f aca="false">12*(Model_Base!U36*$A20-Model_Base!U38*D$16-Model_Base!U41)</f>
        <v>-676.698816795177</v>
      </c>
      <c r="E20" s="12" t="n">
        <f aca="false">12*(Model_Base!U36*$A20-Model_Base!U38*E$16-Model_Base!U41)</f>
        <v>-875.967042297781</v>
      </c>
      <c r="F20" s="12" t="n">
        <f aca="false">12*(Model_Base!U36*$A20-Model_Base!U38*F$16-Model_Base!U41)</f>
        <v>-1274.50349330299</v>
      </c>
    </row>
    <row r="21" customFormat="false" ht="15" hidden="false" customHeight="false" outlineLevel="0" collapsed="false">
      <c r="A21" s="24" t="n">
        <v>1.5</v>
      </c>
      <c r="B21" s="12" t="n">
        <f aca="false">12*(Model_Base!U36*$A21-Model_Base!U38*B$16-Model_Base!U41)</f>
        <v>-5.94119384744255</v>
      </c>
      <c r="C21" s="12" t="n">
        <f aca="false">12*(Model_Base!U36*$A21-Model_Base!U38*C$16-Model_Base!U41)</f>
        <v>-205.209419350046</v>
      </c>
      <c r="D21" s="12" t="n">
        <f aca="false">12*(Model_Base!U36*$A21-Model_Base!U38*D$16-Model_Base!U41)</f>
        <v>-404.47764485265</v>
      </c>
      <c r="E21" s="12" t="n">
        <f aca="false">12*(Model_Base!U36*$A21-Model_Base!U38*E$16-Model_Base!U41)</f>
        <v>-603.745870355254</v>
      </c>
      <c r="F21" s="12" t="n">
        <f aca="false">12*(Model_Base!U36*$A21-Model_Base!U38*F$16-Model_Base!U41)</f>
        <v>-1002.28232136046</v>
      </c>
    </row>
    <row r="24" customFormat="false" ht="15" hidden="false" customHeight="false" outlineLevel="0" collapsed="false">
      <c r="A24" s="6" t="s">
        <v>92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4" t="s">
        <v>93</v>
      </c>
    </row>
    <row r="26" customFormat="false" ht="15" hidden="false" customHeight="false" outlineLevel="0" collapsed="false">
      <c r="A26" s="1" t="s">
        <v>94</v>
      </c>
      <c r="B26" s="24" t="n">
        <v>1</v>
      </c>
      <c r="C26" s="24" t="n">
        <v>2</v>
      </c>
      <c r="D26" s="24" t="n">
        <v>3</v>
      </c>
      <c r="E26" s="24" t="n">
        <v>4</v>
      </c>
      <c r="F26" s="24" t="n">
        <v>5</v>
      </c>
    </row>
    <row r="27" customFormat="false" ht="15" hidden="false" customHeight="false" outlineLevel="0" collapsed="false">
      <c r="A27" s="25" t="n">
        <v>0</v>
      </c>
      <c r="B27" s="26" t="str">
        <f aca="false">IF($A27&gt;0,Unit_Economics!$D$15*B$26/$A27,"organic")</f>
        <v>organic</v>
      </c>
      <c r="C27" s="26" t="str">
        <f aca="false">IF($A27&gt;0,Unit_Economics!$D$15*C$26/$A27,"organic")</f>
        <v>organic</v>
      </c>
      <c r="D27" s="26" t="str">
        <f aca="false">IF($A27&gt;0,Unit_Economics!$D$15*D$26/$A27,"organic")</f>
        <v>organic</v>
      </c>
      <c r="E27" s="26" t="str">
        <f aca="false">IF($A27&gt;0,Unit_Economics!$D$15*E$26/$A27,"organic")</f>
        <v>organic</v>
      </c>
      <c r="F27" s="26" t="str">
        <f aca="false">IF($A27&gt;0,Unit_Economics!$D$15*F$26/$A27,"organic")</f>
        <v>organic</v>
      </c>
    </row>
    <row r="28" customFormat="false" ht="15" hidden="false" customHeight="false" outlineLevel="0" collapsed="false">
      <c r="A28" s="25" t="n">
        <v>30</v>
      </c>
      <c r="B28" s="26" t="n">
        <f aca="false">IF($A28&gt;0,Unit_Economics!$D$15*B$26/$A28,"organic")</f>
        <v>0.251840458983509</v>
      </c>
      <c r="C28" s="26" t="n">
        <f aca="false">IF($A28&gt;0,Unit_Economics!$D$15*C$26/$A28,"organic")</f>
        <v>0.503680917967018</v>
      </c>
      <c r="D28" s="26" t="n">
        <f aca="false">IF($A28&gt;0,Unit_Economics!$D$15*D$26/$A28,"organic")</f>
        <v>0.755521376950527</v>
      </c>
      <c r="E28" s="26" t="n">
        <f aca="false">IF($A28&gt;0,Unit_Economics!$D$15*E$26/$A28,"organic")</f>
        <v>1.00736183593404</v>
      </c>
      <c r="F28" s="26" t="n">
        <f aca="false">IF($A28&gt;0,Unit_Economics!$D$15*F$26/$A28,"organic")</f>
        <v>1.25920229491754</v>
      </c>
    </row>
    <row r="29" customFormat="false" ht="15" hidden="false" customHeight="false" outlineLevel="0" collapsed="false">
      <c r="A29" s="25" t="n">
        <v>60</v>
      </c>
      <c r="B29" s="26" t="n">
        <f aca="false">IF($A29&gt;0,Unit_Economics!$D$15*B$26/$A29,"organic")</f>
        <v>0.125920229491754</v>
      </c>
      <c r="C29" s="26" t="n">
        <f aca="false">IF($A29&gt;0,Unit_Economics!$D$15*C$26/$A29,"organic")</f>
        <v>0.251840458983509</v>
      </c>
      <c r="D29" s="26" t="n">
        <f aca="false">IF($A29&gt;0,Unit_Economics!$D$15*D$26/$A29,"organic")</f>
        <v>0.377760688475263</v>
      </c>
      <c r="E29" s="26" t="n">
        <f aca="false">IF($A29&gt;0,Unit_Economics!$D$15*E$26/$A29,"organic")</f>
        <v>0.503680917967018</v>
      </c>
      <c r="F29" s="26" t="n">
        <f aca="false">IF($A29&gt;0,Unit_Economics!$D$15*F$26/$A29,"organic")</f>
        <v>0.629601147458772</v>
      </c>
    </row>
    <row r="30" customFormat="false" ht="15" hidden="false" customHeight="false" outlineLevel="0" collapsed="false">
      <c r="A30" s="25" t="n">
        <v>120</v>
      </c>
      <c r="B30" s="26" t="n">
        <f aca="false">IF($A30&gt;0,Unit_Economics!$D$15*B$26/$A30,"organic")</f>
        <v>0.0629601147458772</v>
      </c>
      <c r="C30" s="26" t="n">
        <f aca="false">IF($A30&gt;0,Unit_Economics!$D$15*C$26/$A30,"organic")</f>
        <v>0.125920229491754</v>
      </c>
      <c r="D30" s="26" t="n">
        <f aca="false">IF($A30&gt;0,Unit_Economics!$D$15*D$26/$A30,"organic")</f>
        <v>0.188880344237632</v>
      </c>
      <c r="E30" s="26" t="n">
        <f aca="false">IF($A30&gt;0,Unit_Economics!$D$15*E$26/$A30,"organic")</f>
        <v>0.251840458983509</v>
      </c>
      <c r="F30" s="26" t="n">
        <f aca="false">IF($A30&gt;0,Unit_Economics!$D$15*F$26/$A30,"organic")</f>
        <v>0.314800573729386</v>
      </c>
    </row>
    <row r="31" customFormat="false" ht="15" hidden="false" customHeight="false" outlineLevel="0" collapsed="false">
      <c r="A31" s="25" t="n">
        <v>200</v>
      </c>
      <c r="B31" s="26" t="n">
        <f aca="false">IF($A31&gt;0,Unit_Economics!$D$15*B$26/$A31,"organic")</f>
        <v>0.0377760688475263</v>
      </c>
      <c r="C31" s="26" t="n">
        <f aca="false">IF($A31&gt;0,Unit_Economics!$D$15*C$26/$A31,"organic")</f>
        <v>0.0755521376950527</v>
      </c>
      <c r="D31" s="26" t="n">
        <f aca="false">IF($A31&gt;0,Unit_Economics!$D$15*D$26/$A31,"organic")</f>
        <v>0.113328206542579</v>
      </c>
      <c r="E31" s="26" t="n">
        <f aca="false">IF($A31&gt;0,Unit_Economics!$D$15*E$26/$A31,"organic")</f>
        <v>0.151104275390105</v>
      </c>
      <c r="F31" s="26" t="n">
        <f aca="false">IF($A31&gt;0,Unit_Economics!$D$15*F$26/$A31,"organic")</f>
        <v>0.188880344237632</v>
      </c>
    </row>
    <row r="32" customFormat="false" ht="15" hidden="false" customHeight="false" outlineLevel="0" collapsed="false">
      <c r="A32" s="4" t="s">
        <v>95</v>
      </c>
    </row>
  </sheetData>
  <conditionalFormatting sqref="C6:E11">
    <cfRule type="cellIs" priority="2" operator="lessThan" aboveAverage="0" equalAverage="0" bottom="0" percent="0" rank="0" text="" dxfId="0">
      <formula>0</formula>
    </cfRule>
  </conditionalFormatting>
  <conditionalFormatting sqref="B17:F21">
    <cfRule type="cellIs" priority="3" operator="lessThan" aboveAverage="0" equalAverage="0" bottom="0" percent="0" rank="0" text="" dxfId="0">
      <formula>0</formula>
    </cfRule>
  </conditionalFormatting>
  <conditionalFormatting sqref="B27:F31">
    <cfRule type="cellIs" priority="4" operator="lessThan" aboveAverage="0" equalAverage="0" bottom="0" percent="0" rank="0" text="" dxfId="0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5" min="3" style="0" width="15"/>
    <col collapsed="false" customWidth="true" hidden="false" outlineLevel="0" max="6" min="6" style="0" width="13"/>
    <col collapsed="false" customWidth="true" hidden="false" outlineLevel="0" max="7" min="7" style="0" width="70"/>
    <col collapsed="false" customWidth="true" hidden="false" outlineLevel="0" max="20" min="8" style="0" width="8"/>
  </cols>
  <sheetData>
    <row r="1" customFormat="false" ht="17.35" hidden="false" customHeight="false" outlineLevel="0" collapsed="false">
      <c r="A1" s="3" t="s">
        <v>96</v>
      </c>
    </row>
    <row r="2" customFormat="false" ht="15" hidden="false" customHeight="false" outlineLevel="0" collapsed="false">
      <c r="A2" s="4" t="s">
        <v>97</v>
      </c>
    </row>
    <row r="3" customFormat="false" ht="15" hidden="false" customHeight="false" outlineLevel="0" collapsed="false">
      <c r="A3" s="4" t="s">
        <v>98</v>
      </c>
    </row>
    <row r="5" customFormat="false" ht="15" hidden="false" customHeight="false" outlineLevel="0" collapsed="false">
      <c r="A5" s="5" t="s">
        <v>99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100</v>
      </c>
      <c r="G5" s="5" t="s">
        <v>101</v>
      </c>
    </row>
    <row r="6" customFormat="false" ht="15" hidden="false" customHeight="false" outlineLevel="0" collapsed="false">
      <c r="A6" s="6" t="s">
        <v>102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2" t="s">
        <v>103</v>
      </c>
      <c r="B7" s="2" t="s">
        <v>104</v>
      </c>
      <c r="C7" s="27" t="n">
        <f aca="false">D7</f>
        <v>1000000</v>
      </c>
      <c r="D7" s="28" t="n">
        <v>1000000</v>
      </c>
      <c r="E7" s="27" t="n">
        <f aca="false">D7</f>
        <v>1000000</v>
      </c>
      <c r="F7" s="2" t="s">
        <v>105</v>
      </c>
      <c r="G7" s="4"/>
    </row>
    <row r="8" customFormat="false" ht="15" hidden="false" customHeight="false" outlineLevel="0" collapsed="false">
      <c r="A8" s="2" t="s">
        <v>106</v>
      </c>
      <c r="B8" s="2" t="s">
        <v>104</v>
      </c>
      <c r="C8" s="27" t="n">
        <f aca="false">D8</f>
        <v>1000</v>
      </c>
      <c r="D8" s="28" t="n">
        <v>1000</v>
      </c>
      <c r="E8" s="27" t="n">
        <f aca="false">D8</f>
        <v>1000</v>
      </c>
      <c r="F8" s="2" t="s">
        <v>105</v>
      </c>
      <c r="G8" s="4"/>
    </row>
    <row r="9" customFormat="false" ht="15" hidden="false" customHeight="false" outlineLevel="0" collapsed="false">
      <c r="A9" s="6" t="s">
        <v>107</v>
      </c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2" t="s">
        <v>108</v>
      </c>
      <c r="B10" s="2" t="s">
        <v>109</v>
      </c>
      <c r="C10" s="27" t="n">
        <f aca="false">D10</f>
        <v>17000000</v>
      </c>
      <c r="D10" s="28" t="n">
        <v>17000000</v>
      </c>
      <c r="E10" s="27" t="n">
        <f aca="false">D10</f>
        <v>17000000</v>
      </c>
      <c r="F10" s="2" t="s">
        <v>110</v>
      </c>
      <c r="G10" s="4" t="s">
        <v>111</v>
      </c>
    </row>
    <row r="11" customFormat="false" ht="15" hidden="false" customHeight="false" outlineLevel="0" collapsed="false">
      <c r="A11" s="2" t="s">
        <v>112</v>
      </c>
      <c r="B11" s="2" t="s">
        <v>109</v>
      </c>
      <c r="C11" s="27" t="n">
        <f aca="false">D11</f>
        <v>7000000</v>
      </c>
      <c r="D11" s="28" t="n">
        <v>7000000</v>
      </c>
      <c r="E11" s="27" t="n">
        <f aca="false">D11</f>
        <v>7000000</v>
      </c>
      <c r="F11" s="2" t="s">
        <v>110</v>
      </c>
      <c r="G11" s="4"/>
    </row>
    <row r="12" customFormat="false" ht="15" hidden="false" customHeight="false" outlineLevel="0" collapsed="false">
      <c r="A12" s="2" t="s">
        <v>113</v>
      </c>
      <c r="B12" s="2" t="s">
        <v>109</v>
      </c>
      <c r="C12" s="27" t="n">
        <f aca="false">D12</f>
        <v>3000000</v>
      </c>
      <c r="D12" s="28" t="n">
        <v>3000000</v>
      </c>
      <c r="E12" s="27" t="n">
        <f aca="false">D12</f>
        <v>3000000</v>
      </c>
      <c r="F12" s="2" t="s">
        <v>110</v>
      </c>
      <c r="G12" s="4"/>
    </row>
    <row r="13" customFormat="false" ht="15" hidden="false" customHeight="false" outlineLevel="0" collapsed="false">
      <c r="A13" s="6" t="s">
        <v>114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2" t="s">
        <v>115</v>
      </c>
      <c r="B14" s="2" t="s">
        <v>34</v>
      </c>
      <c r="C14" s="29" t="n">
        <v>0.05</v>
      </c>
      <c r="D14" s="29" t="n">
        <v>0.1</v>
      </c>
      <c r="E14" s="29" t="n">
        <v>0.2</v>
      </c>
      <c r="F14" s="2" t="s">
        <v>116</v>
      </c>
      <c r="G14" s="4" t="s">
        <v>117</v>
      </c>
    </row>
    <row r="15" customFormat="false" ht="15" hidden="false" customHeight="false" outlineLevel="0" collapsed="false">
      <c r="A15" s="2" t="s">
        <v>118</v>
      </c>
      <c r="B15" s="2" t="s">
        <v>34</v>
      </c>
      <c r="C15" s="29" t="n">
        <v>0.5</v>
      </c>
      <c r="D15" s="29" t="n">
        <v>0.6</v>
      </c>
      <c r="E15" s="29" t="n">
        <v>0.7</v>
      </c>
      <c r="F15" s="2" t="s">
        <v>116</v>
      </c>
      <c r="G15" s="4"/>
    </row>
    <row r="16" customFormat="false" ht="15" hidden="false" customHeight="false" outlineLevel="0" collapsed="false">
      <c r="A16" s="2" t="s">
        <v>69</v>
      </c>
      <c r="B16" s="2" t="s">
        <v>104</v>
      </c>
      <c r="C16" s="25" t="n">
        <v>200000</v>
      </c>
      <c r="D16" s="25" t="n">
        <v>120000</v>
      </c>
      <c r="E16" s="25" t="n">
        <v>80000</v>
      </c>
      <c r="F16" s="2" t="s">
        <v>116</v>
      </c>
      <c r="G16" s="4" t="s">
        <v>119</v>
      </c>
    </row>
    <row r="17" customFormat="false" ht="15" hidden="false" customHeight="false" outlineLevel="0" collapsed="false">
      <c r="A17" s="6" t="s">
        <v>120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2" t="s">
        <v>121</v>
      </c>
      <c r="B18" s="2" t="s">
        <v>122</v>
      </c>
      <c r="C18" s="29" t="n">
        <v>0.12</v>
      </c>
      <c r="D18" s="29" t="n">
        <v>0.08</v>
      </c>
      <c r="E18" s="29" t="n">
        <v>0.05</v>
      </c>
      <c r="F18" s="2" t="s">
        <v>116</v>
      </c>
      <c r="G18" s="4" t="s">
        <v>123</v>
      </c>
    </row>
    <row r="19" customFormat="false" ht="15" hidden="false" customHeight="false" outlineLevel="0" collapsed="false">
      <c r="A19" s="2" t="s">
        <v>124</v>
      </c>
      <c r="B19" s="2" t="s">
        <v>104</v>
      </c>
      <c r="C19" s="25" t="n">
        <v>300000</v>
      </c>
      <c r="D19" s="25" t="n">
        <v>500000</v>
      </c>
      <c r="E19" s="25" t="n">
        <v>800000</v>
      </c>
      <c r="F19" s="2" t="s">
        <v>116</v>
      </c>
      <c r="G19" s="4" t="s">
        <v>125</v>
      </c>
    </row>
    <row r="20" customFormat="false" ht="15" hidden="false" customHeight="false" outlineLevel="0" collapsed="false">
      <c r="A20" s="2" t="s">
        <v>126</v>
      </c>
      <c r="B20" s="2" t="s">
        <v>122</v>
      </c>
      <c r="C20" s="29" t="n">
        <v>0.06</v>
      </c>
      <c r="D20" s="29" t="n">
        <v>0.05</v>
      </c>
      <c r="E20" s="29" t="n">
        <v>0.04</v>
      </c>
      <c r="F20" s="2" t="s">
        <v>116</v>
      </c>
      <c r="G20" s="4"/>
    </row>
    <row r="21" customFormat="false" ht="15" hidden="false" customHeight="false" outlineLevel="0" collapsed="false">
      <c r="A21" s="2" t="s">
        <v>127</v>
      </c>
      <c r="B21" s="2" t="s">
        <v>34</v>
      </c>
      <c r="C21" s="18" t="n">
        <f aca="false">D21</f>
        <v>0.6</v>
      </c>
      <c r="D21" s="29" t="n">
        <v>0.6</v>
      </c>
      <c r="E21" s="18" t="n">
        <f aca="false">D21</f>
        <v>0.6</v>
      </c>
      <c r="F21" s="2" t="s">
        <v>116</v>
      </c>
      <c r="G21" s="4" t="s">
        <v>128</v>
      </c>
    </row>
    <row r="22" customFormat="false" ht="15" hidden="false" customHeight="false" outlineLevel="0" collapsed="false">
      <c r="A22" s="2" t="s">
        <v>129</v>
      </c>
      <c r="B22" s="2" t="s">
        <v>34</v>
      </c>
      <c r="C22" s="29" t="n">
        <v>0.1</v>
      </c>
      <c r="D22" s="29" t="n">
        <v>0.2</v>
      </c>
      <c r="E22" s="29" t="n">
        <v>0.35</v>
      </c>
      <c r="F22" s="2" t="s">
        <v>116</v>
      </c>
      <c r="G22" s="4" t="s">
        <v>130</v>
      </c>
    </row>
    <row r="23" customFormat="false" ht="15" hidden="false" customHeight="false" outlineLevel="0" collapsed="false">
      <c r="A23" s="6" t="s">
        <v>131</v>
      </c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2" t="s">
        <v>132</v>
      </c>
      <c r="B24" s="2" t="s">
        <v>58</v>
      </c>
      <c r="C24" s="30" t="n">
        <v>0.003</v>
      </c>
      <c r="D24" s="30" t="n">
        <v>0.005</v>
      </c>
      <c r="E24" s="30" t="n">
        <v>0.007</v>
      </c>
      <c r="F24" s="2" t="s">
        <v>133</v>
      </c>
      <c r="G24" s="4" t="s">
        <v>134</v>
      </c>
    </row>
    <row r="25" customFormat="false" ht="15" hidden="false" customHeight="false" outlineLevel="0" collapsed="false">
      <c r="A25" s="2" t="s">
        <v>135</v>
      </c>
      <c r="B25" s="2" t="s">
        <v>58</v>
      </c>
      <c r="C25" s="30" t="n">
        <v>0.005</v>
      </c>
      <c r="D25" s="30" t="n">
        <v>0.008</v>
      </c>
      <c r="E25" s="30" t="n">
        <v>0.01</v>
      </c>
      <c r="F25" s="2" t="s">
        <v>133</v>
      </c>
      <c r="G25" s="4" t="s">
        <v>136</v>
      </c>
    </row>
    <row r="26" customFormat="false" ht="15" hidden="false" customHeight="false" outlineLevel="0" collapsed="false">
      <c r="A26" s="2" t="s">
        <v>137</v>
      </c>
      <c r="B26" s="2" t="s">
        <v>34</v>
      </c>
      <c r="C26" s="29" t="n">
        <v>0.5</v>
      </c>
      <c r="D26" s="29" t="n">
        <v>0.7</v>
      </c>
      <c r="E26" s="29" t="n">
        <v>0.9</v>
      </c>
      <c r="F26" s="2" t="s">
        <v>116</v>
      </c>
      <c r="G26" s="4" t="s">
        <v>138</v>
      </c>
    </row>
    <row r="27" customFormat="false" ht="15" hidden="false" customHeight="false" outlineLevel="0" collapsed="false">
      <c r="A27" s="2" t="s">
        <v>139</v>
      </c>
      <c r="B27" s="2" t="s">
        <v>34</v>
      </c>
      <c r="C27" s="29" t="n">
        <v>0.05</v>
      </c>
      <c r="D27" s="29" t="n">
        <v>0.1</v>
      </c>
      <c r="E27" s="29" t="n">
        <v>0.2</v>
      </c>
      <c r="F27" s="2" t="s">
        <v>116</v>
      </c>
      <c r="G27" s="4" t="s">
        <v>140</v>
      </c>
    </row>
    <row r="28" customFormat="false" ht="15" hidden="false" customHeight="false" outlineLevel="0" collapsed="false">
      <c r="A28" s="2" t="s">
        <v>141</v>
      </c>
      <c r="B28" s="2" t="s">
        <v>67</v>
      </c>
      <c r="C28" s="27" t="n">
        <f aca="false">D28</f>
        <v>6</v>
      </c>
      <c r="D28" s="28" t="n">
        <v>6</v>
      </c>
      <c r="E28" s="27" t="n">
        <f aca="false">D28</f>
        <v>6</v>
      </c>
      <c r="F28" s="2" t="s">
        <v>116</v>
      </c>
      <c r="G28" s="4"/>
    </row>
    <row r="29" customFormat="false" ht="15" hidden="false" customHeight="false" outlineLevel="0" collapsed="false">
      <c r="A29" s="6" t="s">
        <v>142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2" t="s">
        <v>143</v>
      </c>
      <c r="B30" s="2" t="s">
        <v>39</v>
      </c>
      <c r="C30" s="27" t="n">
        <f aca="false">D30</f>
        <v>7</v>
      </c>
      <c r="D30" s="28" t="n">
        <v>7</v>
      </c>
      <c r="E30" s="27" t="n">
        <f aca="false">D30</f>
        <v>7</v>
      </c>
      <c r="F30" s="2" t="s">
        <v>110</v>
      </c>
      <c r="G30" s="4" t="s">
        <v>144</v>
      </c>
    </row>
    <row r="31" customFormat="false" ht="15" hidden="false" customHeight="false" outlineLevel="0" collapsed="false">
      <c r="A31" s="2" t="s">
        <v>145</v>
      </c>
      <c r="B31" s="2" t="s">
        <v>39</v>
      </c>
      <c r="C31" s="27" t="n">
        <f aca="false">D31</f>
        <v>3</v>
      </c>
      <c r="D31" s="28" t="n">
        <v>3</v>
      </c>
      <c r="E31" s="27" t="n">
        <f aca="false">D31</f>
        <v>3</v>
      </c>
      <c r="F31" s="2" t="s">
        <v>110</v>
      </c>
      <c r="G31" s="4" t="s">
        <v>146</v>
      </c>
    </row>
    <row r="32" customFormat="false" ht="15" hidden="false" customHeight="false" outlineLevel="0" collapsed="false">
      <c r="A32" s="2" t="s">
        <v>147</v>
      </c>
      <c r="B32" s="2" t="s">
        <v>39</v>
      </c>
      <c r="C32" s="27" t="n">
        <f aca="false">D32</f>
        <v>4</v>
      </c>
      <c r="D32" s="28" t="n">
        <v>4</v>
      </c>
      <c r="E32" s="27" t="n">
        <f aca="false">D32</f>
        <v>4</v>
      </c>
      <c r="F32" s="2" t="s">
        <v>110</v>
      </c>
      <c r="G32" s="4" t="s">
        <v>148</v>
      </c>
    </row>
    <row r="33" customFormat="false" ht="15" hidden="false" customHeight="false" outlineLevel="0" collapsed="false">
      <c r="A33" s="2" t="s">
        <v>149</v>
      </c>
      <c r="B33" s="2" t="s">
        <v>39</v>
      </c>
      <c r="C33" s="27" t="n">
        <f aca="false">D33</f>
        <v>5</v>
      </c>
      <c r="D33" s="28" t="n">
        <v>5</v>
      </c>
      <c r="E33" s="27" t="n">
        <f aca="false">D33</f>
        <v>5</v>
      </c>
      <c r="F33" s="2" t="s">
        <v>110</v>
      </c>
      <c r="G33" s="4" t="s">
        <v>150</v>
      </c>
    </row>
    <row r="34" customFormat="false" ht="15" hidden="false" customHeight="false" outlineLevel="0" collapsed="false">
      <c r="A34" s="2" t="s">
        <v>151</v>
      </c>
      <c r="B34" s="2" t="s">
        <v>39</v>
      </c>
      <c r="C34" s="27" t="n">
        <f aca="false">D34</f>
        <v>6</v>
      </c>
      <c r="D34" s="28" t="n">
        <v>6</v>
      </c>
      <c r="E34" s="27" t="n">
        <f aca="false">D34</f>
        <v>6</v>
      </c>
      <c r="F34" s="2" t="s">
        <v>110</v>
      </c>
      <c r="G34" s="4"/>
    </row>
    <row r="35" customFormat="false" ht="15" hidden="false" customHeight="false" outlineLevel="0" collapsed="false">
      <c r="A35" s="6" t="s">
        <v>152</v>
      </c>
      <c r="B35" s="7"/>
      <c r="C35" s="7"/>
      <c r="D35" s="7"/>
      <c r="E35" s="7"/>
      <c r="F35" s="7"/>
      <c r="G35" s="7"/>
    </row>
    <row r="36" customFormat="false" ht="15" hidden="false" customHeight="false" outlineLevel="0" collapsed="false">
      <c r="A36" s="2" t="s">
        <v>153</v>
      </c>
      <c r="B36" s="2" t="s">
        <v>34</v>
      </c>
      <c r="C36" s="29" t="n">
        <v>0.5</v>
      </c>
      <c r="D36" s="29" t="n">
        <v>0.65</v>
      </c>
      <c r="E36" s="29" t="n">
        <v>0.8</v>
      </c>
      <c r="F36" s="2" t="s">
        <v>116</v>
      </c>
      <c r="G36" s="4" t="s">
        <v>154</v>
      </c>
    </row>
    <row r="37" customFormat="false" ht="15" hidden="false" customHeight="false" outlineLevel="0" collapsed="false">
      <c r="A37" s="2" t="s">
        <v>155</v>
      </c>
      <c r="B37" s="2" t="s">
        <v>34</v>
      </c>
      <c r="C37" s="29" t="n">
        <v>0.1</v>
      </c>
      <c r="D37" s="29" t="n">
        <v>0.2</v>
      </c>
      <c r="E37" s="29" t="n">
        <v>0.3</v>
      </c>
      <c r="F37" s="2" t="s">
        <v>116</v>
      </c>
      <c r="G37" s="4"/>
    </row>
    <row r="38" customFormat="false" ht="15" hidden="false" customHeight="false" outlineLevel="0" collapsed="false">
      <c r="A38" s="6" t="s">
        <v>156</v>
      </c>
      <c r="B38" s="7"/>
      <c r="C38" s="7"/>
      <c r="D38" s="7"/>
      <c r="E38" s="7"/>
      <c r="F38" s="7"/>
      <c r="G38" s="7"/>
    </row>
    <row r="39" customFormat="false" ht="15" hidden="false" customHeight="false" outlineLevel="0" collapsed="false">
      <c r="A39" s="2" t="s">
        <v>157</v>
      </c>
      <c r="B39" s="2" t="s">
        <v>104</v>
      </c>
      <c r="C39" s="27" t="n">
        <f aca="false">D39</f>
        <v>1500000000</v>
      </c>
      <c r="D39" s="25" t="n">
        <v>1500000000</v>
      </c>
      <c r="E39" s="27" t="n">
        <f aca="false">D39</f>
        <v>1500000000</v>
      </c>
      <c r="F39" s="2" t="s">
        <v>116</v>
      </c>
      <c r="G39" s="4" t="s">
        <v>158</v>
      </c>
    </row>
    <row r="40" customFormat="false" ht="15" hidden="false" customHeight="false" outlineLevel="0" collapsed="false">
      <c r="A40" s="2" t="s">
        <v>159</v>
      </c>
      <c r="B40" s="2" t="s">
        <v>67</v>
      </c>
      <c r="C40" s="27" t="n">
        <f aca="false">D40</f>
        <v>3</v>
      </c>
      <c r="D40" s="28" t="n">
        <v>3</v>
      </c>
      <c r="E40" s="27" t="n">
        <f aca="false">D40</f>
        <v>3</v>
      </c>
      <c r="F40" s="2" t="s">
        <v>116</v>
      </c>
      <c r="G40" s="4"/>
    </row>
    <row r="41" customFormat="false" ht="15" hidden="false" customHeight="false" outlineLevel="0" collapsed="false">
      <c r="A41" s="2" t="s">
        <v>160</v>
      </c>
      <c r="B41" s="2" t="s">
        <v>104</v>
      </c>
      <c r="C41" s="27" t="n">
        <f aca="false">D41</f>
        <v>120000000</v>
      </c>
      <c r="D41" s="25" t="n">
        <v>120000000</v>
      </c>
      <c r="E41" s="27" t="n">
        <f aca="false">D41</f>
        <v>120000000</v>
      </c>
      <c r="F41" s="2" t="s">
        <v>116</v>
      </c>
      <c r="G41" s="4"/>
    </row>
    <row r="42" customFormat="false" ht="15" hidden="false" customHeight="false" outlineLevel="0" collapsed="false">
      <c r="A42" s="6" t="s">
        <v>161</v>
      </c>
      <c r="B42" s="7"/>
      <c r="C42" s="7"/>
      <c r="D42" s="7"/>
      <c r="E42" s="7"/>
      <c r="F42" s="7"/>
      <c r="G42" s="7"/>
    </row>
    <row r="43" customFormat="false" ht="15" hidden="false" customHeight="false" outlineLevel="0" collapsed="false">
      <c r="A43" s="2" t="s">
        <v>162</v>
      </c>
      <c r="B43" s="2" t="s">
        <v>34</v>
      </c>
      <c r="C43" s="18" t="n">
        <f aca="false">D43</f>
        <v>0.05</v>
      </c>
      <c r="D43" s="31" t="n">
        <v>0.05</v>
      </c>
      <c r="E43" s="18" t="n">
        <f aca="false">D43</f>
        <v>0.05</v>
      </c>
      <c r="F43" s="2" t="s">
        <v>110</v>
      </c>
      <c r="G43" s="4"/>
    </row>
    <row r="44" customFormat="false" ht="15" hidden="false" customHeight="false" outlineLevel="0" collapsed="false">
      <c r="A44" s="2" t="s">
        <v>163</v>
      </c>
      <c r="B44" s="2" t="s">
        <v>34</v>
      </c>
      <c r="C44" s="18" t="n">
        <f aca="false">D44</f>
        <v>0.5</v>
      </c>
      <c r="D44" s="31" t="n">
        <v>0.5</v>
      </c>
      <c r="E44" s="18" t="n">
        <f aca="false">D44</f>
        <v>0.5</v>
      </c>
      <c r="F44" s="2" t="s">
        <v>110</v>
      </c>
      <c r="G44" s="4"/>
    </row>
    <row r="46" customFormat="false" ht="15" hidden="false" customHeight="false" outlineLevel="0" collapsed="false">
      <c r="A46" s="6" t="s">
        <v>164</v>
      </c>
      <c r="B46" s="7"/>
      <c r="C46" s="7"/>
      <c r="D46" s="7"/>
      <c r="E46" s="7"/>
      <c r="F46" s="7"/>
      <c r="G46" s="7"/>
    </row>
    <row r="47" customFormat="false" ht="15" hidden="false" customHeight="false" outlineLevel="0" collapsed="false">
      <c r="A47" s="5" t="s">
        <v>165</v>
      </c>
      <c r="B47" s="5" t="s">
        <v>166</v>
      </c>
      <c r="C47" s="5" t="s">
        <v>87</v>
      </c>
    </row>
    <row r="48" customFormat="false" ht="15" hidden="false" customHeight="false" outlineLevel="0" collapsed="false">
      <c r="A48" s="2" t="s">
        <v>167</v>
      </c>
      <c r="B48" s="2" t="s">
        <v>168</v>
      </c>
      <c r="C48" s="32" t="n">
        <v>0.0005</v>
      </c>
      <c r="F48" s="2" t="s">
        <v>110</v>
      </c>
    </row>
    <row r="49" customFormat="false" ht="15" hidden="false" customHeight="false" outlineLevel="0" collapsed="false">
      <c r="A49" s="2" t="s">
        <v>169</v>
      </c>
      <c r="B49" s="2" t="s">
        <v>170</v>
      </c>
      <c r="C49" s="32" t="n">
        <v>0.001</v>
      </c>
      <c r="F49" s="2" t="s">
        <v>110</v>
      </c>
    </row>
    <row r="50" customFormat="false" ht="15" hidden="false" customHeight="false" outlineLevel="0" collapsed="false">
      <c r="A50" s="2" t="s">
        <v>171</v>
      </c>
      <c r="B50" s="2" t="s">
        <v>172</v>
      </c>
      <c r="C50" s="32" t="n">
        <v>0.0015</v>
      </c>
      <c r="F50" s="2" t="s">
        <v>110</v>
      </c>
    </row>
    <row r="51" customFormat="false" ht="15" hidden="false" customHeight="false" outlineLevel="0" collapsed="false">
      <c r="A51" s="2" t="s">
        <v>173</v>
      </c>
      <c r="B51" s="2" t="s">
        <v>174</v>
      </c>
      <c r="C51" s="32" t="n">
        <v>0.0025</v>
      </c>
      <c r="F51" s="2" t="s">
        <v>110</v>
      </c>
    </row>
    <row r="52" customFormat="false" ht="15" hidden="false" customHeight="false" outlineLevel="0" collapsed="false">
      <c r="A52" s="2" t="s">
        <v>175</v>
      </c>
      <c r="B52" s="2" t="s">
        <v>176</v>
      </c>
      <c r="C52" s="32" t="n">
        <v>0.003</v>
      </c>
      <c r="F52" s="2" t="s">
        <v>110</v>
      </c>
    </row>
    <row r="53" customFormat="false" ht="15" hidden="false" customHeight="false" outlineLevel="0" collapsed="false">
      <c r="A53" s="2" t="s">
        <v>177</v>
      </c>
      <c r="B53" s="2" t="s">
        <v>178</v>
      </c>
      <c r="C53" s="32" t="n">
        <v>0.004</v>
      </c>
      <c r="F53" s="2" t="s">
        <v>110</v>
      </c>
    </row>
    <row r="55" customFormat="false" ht="15" hidden="false" customHeight="false" outlineLevel="0" collapsed="false">
      <c r="A55" s="6" t="s">
        <v>179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Format="false" ht="15" hidden="false" customHeight="false" outlineLevel="0" collapsed="false">
      <c r="A56" s="5"/>
      <c r="B56" s="5"/>
      <c r="C56" s="5" t="s">
        <v>180</v>
      </c>
      <c r="D56" s="5" t="s">
        <v>181</v>
      </c>
      <c r="E56" s="5" t="s">
        <v>182</v>
      </c>
      <c r="F56" s="5" t="s">
        <v>183</v>
      </c>
      <c r="G56" s="5" t="s">
        <v>184</v>
      </c>
      <c r="H56" s="5" t="s">
        <v>185</v>
      </c>
      <c r="I56" s="5" t="s">
        <v>186</v>
      </c>
      <c r="J56" s="5" t="s">
        <v>187</v>
      </c>
      <c r="K56" s="5" t="s">
        <v>188</v>
      </c>
      <c r="L56" s="5" t="s">
        <v>189</v>
      </c>
      <c r="M56" s="5" t="s">
        <v>190</v>
      </c>
      <c r="N56" s="5" t="s">
        <v>191</v>
      </c>
    </row>
    <row r="57" customFormat="false" ht="15" hidden="false" customHeight="false" outlineLevel="0" collapsed="false">
      <c r="A57" s="2" t="s">
        <v>192</v>
      </c>
      <c r="B57" s="2" t="s">
        <v>71</v>
      </c>
      <c r="C57" s="24" t="n">
        <v>1.4</v>
      </c>
      <c r="D57" s="24" t="n">
        <v>1.2</v>
      </c>
      <c r="E57" s="24" t="n">
        <v>1</v>
      </c>
      <c r="F57" s="24" t="n">
        <v>1</v>
      </c>
      <c r="G57" s="24" t="n">
        <v>1</v>
      </c>
      <c r="H57" s="24" t="n">
        <v>1</v>
      </c>
      <c r="I57" s="24" t="n">
        <v>1</v>
      </c>
      <c r="J57" s="24" t="n">
        <v>1</v>
      </c>
      <c r="K57" s="24" t="n">
        <v>1</v>
      </c>
      <c r="L57" s="24" t="n">
        <v>1</v>
      </c>
      <c r="M57" s="24" t="n">
        <v>1</v>
      </c>
      <c r="N57" s="24" t="n">
        <v>1.3</v>
      </c>
      <c r="O57" s="4" t="s">
        <v>193</v>
      </c>
    </row>
    <row r="59" customFormat="false" ht="15" hidden="false" customHeight="false" outlineLevel="0" collapsed="false">
      <c r="A59" s="6" t="s">
        <v>194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customFormat="false" ht="15" hidden="false" customHeight="false" outlineLevel="0" collapsed="false">
      <c r="A60" s="5"/>
      <c r="B60" s="5"/>
      <c r="C60" s="5" t="s">
        <v>195</v>
      </c>
      <c r="D60" s="5" t="s">
        <v>196</v>
      </c>
      <c r="E60" s="5" t="s">
        <v>197</v>
      </c>
      <c r="F60" s="5" t="s">
        <v>198</v>
      </c>
      <c r="G60" s="5" t="s">
        <v>199</v>
      </c>
      <c r="H60" s="5" t="s">
        <v>200</v>
      </c>
      <c r="I60" s="5" t="s">
        <v>201</v>
      </c>
      <c r="J60" s="5" t="s">
        <v>202</v>
      </c>
      <c r="K60" s="5" t="s">
        <v>203</v>
      </c>
      <c r="L60" s="5" t="s">
        <v>204</v>
      </c>
      <c r="M60" s="5" t="s">
        <v>205</v>
      </c>
      <c r="N60" s="5" t="s">
        <v>206</v>
      </c>
      <c r="O60" s="5" t="s">
        <v>207</v>
      </c>
      <c r="P60" s="5" t="s">
        <v>208</v>
      </c>
      <c r="Q60" s="5" t="s">
        <v>209</v>
      </c>
      <c r="R60" s="5" t="s">
        <v>210</v>
      </c>
      <c r="S60" s="5" t="s">
        <v>211</v>
      </c>
      <c r="T60" s="5" t="s">
        <v>212</v>
      </c>
    </row>
    <row r="61" customFormat="false" ht="15" hidden="false" customHeight="false" outlineLevel="0" collapsed="false">
      <c r="A61" s="2" t="s">
        <v>213</v>
      </c>
      <c r="B61" s="2" t="s">
        <v>214</v>
      </c>
      <c r="C61" s="33" t="n">
        <v>2</v>
      </c>
      <c r="D61" s="33" t="n">
        <v>3</v>
      </c>
      <c r="E61" s="33" t="n">
        <v>4</v>
      </c>
      <c r="F61" s="33" t="n">
        <v>5</v>
      </c>
      <c r="G61" s="33" t="n">
        <v>6</v>
      </c>
      <c r="H61" s="33" t="n">
        <v>7</v>
      </c>
      <c r="I61" s="33" t="n">
        <v>7</v>
      </c>
      <c r="J61" s="33" t="n">
        <v>7</v>
      </c>
      <c r="K61" s="33" t="n">
        <v>7</v>
      </c>
      <c r="L61" s="33" t="n">
        <v>7</v>
      </c>
      <c r="M61" s="33" t="n">
        <v>6</v>
      </c>
      <c r="N61" s="33" t="n">
        <v>6</v>
      </c>
      <c r="O61" s="33" t="n">
        <v>6</v>
      </c>
      <c r="P61" s="33" t="n">
        <v>5</v>
      </c>
      <c r="Q61" s="33" t="n">
        <v>5</v>
      </c>
      <c r="R61" s="33" t="n">
        <v>5</v>
      </c>
      <c r="S61" s="33" t="n">
        <v>4</v>
      </c>
      <c r="T61" s="33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21" min="4" style="0" width="10"/>
  </cols>
  <sheetData>
    <row r="1" customFormat="false" ht="17.35" hidden="false" customHeight="false" outlineLevel="0" collapsed="false">
      <c r="A1" s="3" t="s">
        <v>215</v>
      </c>
    </row>
    <row r="2" customFormat="false" ht="15" hidden="false" customHeight="false" outlineLevel="0" collapsed="false">
      <c r="A2" s="4" t="s">
        <v>216</v>
      </c>
    </row>
    <row r="3" customFormat="false" ht="15" hidden="false" customHeight="false" outlineLevel="0" collapsed="false">
      <c r="A3" s="5" t="s">
        <v>217</v>
      </c>
      <c r="B3" s="5" t="s">
        <v>16</v>
      </c>
      <c r="C3" s="5" t="s">
        <v>218</v>
      </c>
      <c r="D3" s="5" t="s">
        <v>195</v>
      </c>
      <c r="E3" s="5" t="s">
        <v>196</v>
      </c>
      <c r="F3" s="5" t="s">
        <v>197</v>
      </c>
      <c r="G3" s="5" t="s">
        <v>198</v>
      </c>
      <c r="H3" s="5" t="s">
        <v>199</v>
      </c>
      <c r="I3" s="5" t="s">
        <v>200</v>
      </c>
      <c r="J3" s="5" t="s">
        <v>201</v>
      </c>
      <c r="K3" s="5" t="s">
        <v>202</v>
      </c>
      <c r="L3" s="5" t="s">
        <v>203</v>
      </c>
      <c r="M3" s="5" t="s">
        <v>204</v>
      </c>
      <c r="N3" s="5" t="s">
        <v>205</v>
      </c>
      <c r="O3" s="5" t="s">
        <v>206</v>
      </c>
      <c r="P3" s="5" t="s">
        <v>207</v>
      </c>
      <c r="Q3" s="5" t="s">
        <v>208</v>
      </c>
      <c r="R3" s="5" t="s">
        <v>209</v>
      </c>
      <c r="S3" s="5" t="s">
        <v>210</v>
      </c>
      <c r="T3" s="5" t="s">
        <v>211</v>
      </c>
      <c r="U3" s="5" t="s">
        <v>212</v>
      </c>
    </row>
    <row r="4" customFormat="false" ht="15" hidden="false" customHeight="false" outlineLevel="0" collapsed="false">
      <c r="A4" s="2" t="s">
        <v>219</v>
      </c>
      <c r="B4" s="2" t="s">
        <v>220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5</v>
      </c>
      <c r="I4" s="15" t="n">
        <v>6</v>
      </c>
      <c r="J4" s="15" t="n">
        <v>7</v>
      </c>
      <c r="K4" s="15" t="n">
        <v>8</v>
      </c>
      <c r="L4" s="15" t="n">
        <v>9</v>
      </c>
      <c r="M4" s="15" t="n">
        <v>10</v>
      </c>
      <c r="N4" s="15" t="n">
        <v>11</v>
      </c>
      <c r="O4" s="15" t="n">
        <v>12</v>
      </c>
      <c r="P4" s="15" t="n">
        <v>13</v>
      </c>
      <c r="Q4" s="15" t="n">
        <v>14</v>
      </c>
      <c r="R4" s="15" t="n">
        <v>15</v>
      </c>
      <c r="S4" s="15" t="n">
        <v>16</v>
      </c>
      <c r="T4" s="15" t="n">
        <v>17</v>
      </c>
      <c r="U4" s="15" t="n">
        <v>18</v>
      </c>
    </row>
    <row r="5" customFormat="false" ht="15" hidden="false" customHeight="false" outlineLevel="0" collapsed="false">
      <c r="A5" s="2" t="s">
        <v>221</v>
      </c>
      <c r="B5" s="2" t="s">
        <v>222</v>
      </c>
      <c r="D5" s="15" t="n">
        <f aca="false">MOD(Assumptions!$C$30-1+D4-1,12)+1</f>
        <v>7</v>
      </c>
      <c r="E5" s="15" t="n">
        <f aca="false">MOD(Assumptions!$C$30-1+E4-1,12)+1</f>
        <v>8</v>
      </c>
      <c r="F5" s="15" t="n">
        <f aca="false">MOD(Assumptions!$C$30-1+F4-1,12)+1</f>
        <v>9</v>
      </c>
      <c r="G5" s="15" t="n">
        <f aca="false">MOD(Assumptions!$C$30-1+G4-1,12)+1</f>
        <v>10</v>
      </c>
      <c r="H5" s="15" t="n">
        <f aca="false">MOD(Assumptions!$C$30-1+H4-1,12)+1</f>
        <v>11</v>
      </c>
      <c r="I5" s="15" t="n">
        <f aca="false">MOD(Assumptions!$C$30-1+I4-1,12)+1</f>
        <v>12</v>
      </c>
      <c r="J5" s="15" t="n">
        <f aca="false">MOD(Assumptions!$C$30-1+J4-1,12)+1</f>
        <v>1</v>
      </c>
      <c r="K5" s="15" t="n">
        <f aca="false">MOD(Assumptions!$C$30-1+K4-1,12)+1</f>
        <v>2</v>
      </c>
      <c r="L5" s="15" t="n">
        <f aca="false">MOD(Assumptions!$C$30-1+L4-1,12)+1</f>
        <v>3</v>
      </c>
      <c r="M5" s="15" t="n">
        <f aca="false">MOD(Assumptions!$C$30-1+M4-1,12)+1</f>
        <v>4</v>
      </c>
      <c r="N5" s="15" t="n">
        <f aca="false">MOD(Assumptions!$C$30-1+N4-1,12)+1</f>
        <v>5</v>
      </c>
      <c r="O5" s="15" t="n">
        <f aca="false">MOD(Assumptions!$C$30-1+O4-1,12)+1</f>
        <v>6</v>
      </c>
      <c r="P5" s="15" t="n">
        <f aca="false">MOD(Assumptions!$C$30-1+P4-1,12)+1</f>
        <v>7</v>
      </c>
      <c r="Q5" s="15" t="n">
        <f aca="false">MOD(Assumptions!$C$30-1+Q4-1,12)+1</f>
        <v>8</v>
      </c>
      <c r="R5" s="15" t="n">
        <f aca="false">MOD(Assumptions!$C$30-1+R4-1,12)+1</f>
        <v>9</v>
      </c>
      <c r="S5" s="15" t="n">
        <f aca="false">MOD(Assumptions!$C$30-1+S4-1,12)+1</f>
        <v>10</v>
      </c>
      <c r="T5" s="15" t="n">
        <f aca="false">MOD(Assumptions!$C$30-1+T4-1,12)+1</f>
        <v>11</v>
      </c>
      <c r="U5" s="15" t="n">
        <f aca="false">MOD(Assumptions!$C$30-1+U4-1,12)+1</f>
        <v>12</v>
      </c>
    </row>
    <row r="6" customFormat="false" ht="15" hidden="false" customHeight="false" outlineLevel="0" collapsed="false">
      <c r="A6" s="2" t="s">
        <v>223</v>
      </c>
      <c r="B6" s="2" t="s">
        <v>71</v>
      </c>
      <c r="D6" s="26" t="n">
        <f aca="false">INDEX(Assumptions!$C$57:$N$57,D5)</f>
        <v>1</v>
      </c>
      <c r="E6" s="26" t="n">
        <f aca="false">INDEX(Assumptions!$C$57:$N$57,E5)</f>
        <v>1</v>
      </c>
      <c r="F6" s="26" t="n">
        <f aca="false">INDEX(Assumptions!$C$57:$N$57,F5)</f>
        <v>1</v>
      </c>
      <c r="G6" s="26" t="n">
        <f aca="false">INDEX(Assumptions!$C$57:$N$57,G5)</f>
        <v>1</v>
      </c>
      <c r="H6" s="26" t="n">
        <f aca="false">INDEX(Assumptions!$C$57:$N$57,H5)</f>
        <v>1</v>
      </c>
      <c r="I6" s="26" t="n">
        <f aca="false">INDEX(Assumptions!$C$57:$N$57,I5)</f>
        <v>1.3</v>
      </c>
      <c r="J6" s="26" t="n">
        <f aca="false">INDEX(Assumptions!$C$57:$N$57,J5)</f>
        <v>1.4</v>
      </c>
      <c r="K6" s="26" t="n">
        <f aca="false">INDEX(Assumptions!$C$57:$N$57,K5)</f>
        <v>1.2</v>
      </c>
      <c r="L6" s="26" t="n">
        <f aca="false">INDEX(Assumptions!$C$57:$N$57,L5)</f>
        <v>1</v>
      </c>
      <c r="M6" s="26" t="n">
        <f aca="false">INDEX(Assumptions!$C$57:$N$57,M5)</f>
        <v>1</v>
      </c>
      <c r="N6" s="26" t="n">
        <f aca="false">INDEX(Assumptions!$C$57:$N$57,N5)</f>
        <v>1</v>
      </c>
      <c r="O6" s="26" t="n">
        <f aca="false">INDEX(Assumptions!$C$57:$N$57,O5)</f>
        <v>1</v>
      </c>
      <c r="P6" s="26" t="n">
        <f aca="false">INDEX(Assumptions!$C$57:$N$57,P5)</f>
        <v>1</v>
      </c>
      <c r="Q6" s="26" t="n">
        <f aca="false">INDEX(Assumptions!$C$57:$N$57,Q5)</f>
        <v>1</v>
      </c>
      <c r="R6" s="26" t="n">
        <f aca="false">INDEX(Assumptions!$C$57:$N$57,R5)</f>
        <v>1</v>
      </c>
      <c r="S6" s="26" t="n">
        <f aca="false">INDEX(Assumptions!$C$57:$N$57,S5)</f>
        <v>1</v>
      </c>
      <c r="T6" s="26" t="n">
        <f aca="false">INDEX(Assumptions!$C$57:$N$57,T5)</f>
        <v>1</v>
      </c>
      <c r="U6" s="26" t="n">
        <f aca="false">INDEX(Assumptions!$C$57:$N$57,U5)</f>
        <v>1.3</v>
      </c>
    </row>
    <row r="7" customFormat="false" ht="15" hidden="false" customHeight="false" outlineLevel="0" collapsed="false">
      <c r="A7" s="2" t="s">
        <v>224</v>
      </c>
      <c r="B7" s="2" t="s">
        <v>34</v>
      </c>
      <c r="D7" s="18" t="n">
        <f aca="false">INDEX(Assumptions!$C$61:$T$61,D4)/SUM(Assumptions!$C$61:$T$61)</f>
        <v>0.0208333333333333</v>
      </c>
      <c r="E7" s="18" t="n">
        <f aca="false">INDEX(Assumptions!$C$61:$T$61,E4)/SUM(Assumptions!$C$61:$T$61)</f>
        <v>0.03125</v>
      </c>
      <c r="F7" s="18" t="n">
        <f aca="false">INDEX(Assumptions!$C$61:$T$61,F4)/SUM(Assumptions!$C$61:$T$61)</f>
        <v>0.0416666666666667</v>
      </c>
      <c r="G7" s="18" t="n">
        <f aca="false">INDEX(Assumptions!$C$61:$T$61,G4)/SUM(Assumptions!$C$61:$T$61)</f>
        <v>0.0520833333333333</v>
      </c>
      <c r="H7" s="18" t="n">
        <f aca="false">INDEX(Assumptions!$C$61:$T$61,H4)/SUM(Assumptions!$C$61:$T$61)</f>
        <v>0.0625</v>
      </c>
      <c r="I7" s="18" t="n">
        <f aca="false">INDEX(Assumptions!$C$61:$T$61,I4)/SUM(Assumptions!$C$61:$T$61)</f>
        <v>0.0729166666666667</v>
      </c>
      <c r="J7" s="18" t="n">
        <f aca="false">INDEX(Assumptions!$C$61:$T$61,J4)/SUM(Assumptions!$C$61:$T$61)</f>
        <v>0.0729166666666667</v>
      </c>
      <c r="K7" s="18" t="n">
        <f aca="false">INDEX(Assumptions!$C$61:$T$61,K4)/SUM(Assumptions!$C$61:$T$61)</f>
        <v>0.0729166666666667</v>
      </c>
      <c r="L7" s="18" t="n">
        <f aca="false">INDEX(Assumptions!$C$61:$T$61,L4)/SUM(Assumptions!$C$61:$T$61)</f>
        <v>0.0729166666666667</v>
      </c>
      <c r="M7" s="18" t="n">
        <f aca="false">INDEX(Assumptions!$C$61:$T$61,M4)/SUM(Assumptions!$C$61:$T$61)</f>
        <v>0.0729166666666667</v>
      </c>
      <c r="N7" s="18" t="n">
        <f aca="false">INDEX(Assumptions!$C$61:$T$61,N4)/SUM(Assumptions!$C$61:$T$61)</f>
        <v>0.0625</v>
      </c>
      <c r="O7" s="18" t="n">
        <f aca="false">INDEX(Assumptions!$C$61:$T$61,O4)/SUM(Assumptions!$C$61:$T$61)</f>
        <v>0.0625</v>
      </c>
      <c r="P7" s="18" t="n">
        <f aca="false">INDEX(Assumptions!$C$61:$T$61,P4)/SUM(Assumptions!$C$61:$T$61)</f>
        <v>0.0625</v>
      </c>
      <c r="Q7" s="18" t="n">
        <f aca="false">INDEX(Assumptions!$C$61:$T$61,Q4)/SUM(Assumptions!$C$61:$T$61)</f>
        <v>0.0520833333333333</v>
      </c>
      <c r="R7" s="18" t="n">
        <f aca="false">INDEX(Assumptions!$C$61:$T$61,R4)/SUM(Assumptions!$C$61:$T$61)</f>
        <v>0.0520833333333333</v>
      </c>
      <c r="S7" s="18" t="n">
        <f aca="false">INDEX(Assumptions!$C$61:$T$61,S4)/SUM(Assumptions!$C$61:$T$61)</f>
        <v>0.0520833333333333</v>
      </c>
      <c r="T7" s="18" t="n">
        <f aca="false">INDEX(Assumptions!$C$61:$T$61,T4)/SUM(Assumptions!$C$61:$T$61)</f>
        <v>0.0416666666666667</v>
      </c>
      <c r="U7" s="18" t="n">
        <f aca="false">INDEX(Assumptions!$C$61:$T$61,U4)/SUM(Assumptions!$C$61:$T$61)</f>
        <v>0.0416666666666667</v>
      </c>
    </row>
    <row r="8" customFormat="false" ht="15" hidden="false" customHeight="false" outlineLevel="0" collapsed="false">
      <c r="A8" s="6" t="s">
        <v>225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customFormat="false" ht="15" hidden="false" customHeight="false" outlineLevel="0" collapsed="false">
      <c r="A9" s="2" t="s">
        <v>226</v>
      </c>
      <c r="B9" s="2" t="s">
        <v>22</v>
      </c>
      <c r="C9" s="12" t="n">
        <f aca="false">SUM(D9:U9)</f>
        <v>150000</v>
      </c>
      <c r="D9" s="27" t="n">
        <f aca="false">Assumptions!$C$14*Assumptions!$C$12*D7</f>
        <v>3125</v>
      </c>
      <c r="E9" s="27" t="n">
        <f aca="false">Assumptions!$C$14*Assumptions!$C$12*E7</f>
        <v>4687.5</v>
      </c>
      <c r="F9" s="27" t="n">
        <f aca="false">Assumptions!$C$14*Assumptions!$C$12*F7</f>
        <v>6250</v>
      </c>
      <c r="G9" s="27" t="n">
        <f aca="false">Assumptions!$C$14*Assumptions!$C$12*G7</f>
        <v>7812.5</v>
      </c>
      <c r="H9" s="27" t="n">
        <f aca="false">Assumptions!$C$14*Assumptions!$C$12*H7</f>
        <v>9375</v>
      </c>
      <c r="I9" s="27" t="n">
        <f aca="false">Assumptions!$C$14*Assumptions!$C$12*I7</f>
        <v>10937.5</v>
      </c>
      <c r="J9" s="27" t="n">
        <f aca="false">Assumptions!$C$14*Assumptions!$C$12*J7</f>
        <v>10937.5</v>
      </c>
      <c r="K9" s="27" t="n">
        <f aca="false">Assumptions!$C$14*Assumptions!$C$12*K7</f>
        <v>10937.5</v>
      </c>
      <c r="L9" s="27" t="n">
        <f aca="false">Assumptions!$C$14*Assumptions!$C$12*L7</f>
        <v>10937.5</v>
      </c>
      <c r="M9" s="27" t="n">
        <f aca="false">Assumptions!$C$14*Assumptions!$C$12*M7</f>
        <v>10937.5</v>
      </c>
      <c r="N9" s="27" t="n">
        <f aca="false">Assumptions!$C$14*Assumptions!$C$12*N7</f>
        <v>9375</v>
      </c>
      <c r="O9" s="27" t="n">
        <f aca="false">Assumptions!$C$14*Assumptions!$C$12*O7</f>
        <v>9375</v>
      </c>
      <c r="P9" s="27" t="n">
        <f aca="false">Assumptions!$C$14*Assumptions!$C$12*P7</f>
        <v>9375</v>
      </c>
      <c r="Q9" s="27" t="n">
        <f aca="false">Assumptions!$C$14*Assumptions!$C$12*Q7</f>
        <v>7812.5</v>
      </c>
      <c r="R9" s="27" t="n">
        <f aca="false">Assumptions!$C$14*Assumptions!$C$12*R7</f>
        <v>7812.5</v>
      </c>
      <c r="S9" s="27" t="n">
        <f aca="false">Assumptions!$C$14*Assumptions!$C$12*S7</f>
        <v>7812.5</v>
      </c>
      <c r="T9" s="27" t="n">
        <f aca="false">Assumptions!$C$14*Assumptions!$C$12*T7</f>
        <v>6250</v>
      </c>
      <c r="U9" s="27" t="n">
        <f aca="false">Assumptions!$C$14*Assumptions!$C$12*U7</f>
        <v>6250</v>
      </c>
    </row>
    <row r="10" customFormat="false" ht="15" hidden="false" customHeight="false" outlineLevel="0" collapsed="false">
      <c r="A10" s="2" t="s">
        <v>227</v>
      </c>
      <c r="B10" s="2" t="s">
        <v>22</v>
      </c>
      <c r="C10" s="12" t="n">
        <f aca="false">SUM(D10:U10)</f>
        <v>75000</v>
      </c>
      <c r="D10" s="27" t="n">
        <f aca="false">D9*Assumptions!$C$15</f>
        <v>1562.5</v>
      </c>
      <c r="E10" s="27" t="n">
        <f aca="false">E9*Assumptions!$C$15</f>
        <v>2343.75</v>
      </c>
      <c r="F10" s="27" t="n">
        <f aca="false">F9*Assumptions!$C$15</f>
        <v>3125</v>
      </c>
      <c r="G10" s="27" t="n">
        <f aca="false">G9*Assumptions!$C$15</f>
        <v>3906.25</v>
      </c>
      <c r="H10" s="27" t="n">
        <f aca="false">H9*Assumptions!$C$15</f>
        <v>4687.5</v>
      </c>
      <c r="I10" s="27" t="n">
        <f aca="false">I9*Assumptions!$C$15</f>
        <v>5468.75</v>
      </c>
      <c r="J10" s="27" t="n">
        <f aca="false">J9*Assumptions!$C$15</f>
        <v>5468.75</v>
      </c>
      <c r="K10" s="27" t="n">
        <f aca="false">K9*Assumptions!$C$15</f>
        <v>5468.75</v>
      </c>
      <c r="L10" s="27" t="n">
        <f aca="false">L9*Assumptions!$C$15</f>
        <v>5468.75</v>
      </c>
      <c r="M10" s="27" t="n">
        <f aca="false">M9*Assumptions!$C$15</f>
        <v>5468.75</v>
      </c>
      <c r="N10" s="27" t="n">
        <f aca="false">N9*Assumptions!$C$15</f>
        <v>4687.5</v>
      </c>
      <c r="O10" s="27" t="n">
        <f aca="false">O9*Assumptions!$C$15</f>
        <v>4687.5</v>
      </c>
      <c r="P10" s="27" t="n">
        <f aca="false">P9*Assumptions!$C$15</f>
        <v>4687.5</v>
      </c>
      <c r="Q10" s="27" t="n">
        <f aca="false">Q9*Assumptions!$C$15</f>
        <v>3906.25</v>
      </c>
      <c r="R10" s="27" t="n">
        <f aca="false">R9*Assumptions!$C$15</f>
        <v>3906.25</v>
      </c>
      <c r="S10" s="27" t="n">
        <f aca="false">S9*Assumptions!$C$15</f>
        <v>3906.25</v>
      </c>
      <c r="T10" s="27" t="n">
        <f aca="false">T9*Assumptions!$C$15</f>
        <v>3125</v>
      </c>
      <c r="U10" s="27" t="n">
        <f aca="false">U9*Assumptions!$C$15</f>
        <v>3125</v>
      </c>
    </row>
    <row r="11" customFormat="false" ht="15" hidden="false" customHeight="false" outlineLevel="0" collapsed="false">
      <c r="A11" s="2" t="s">
        <v>228</v>
      </c>
      <c r="B11" s="2" t="s">
        <v>22</v>
      </c>
      <c r="D11" s="27" t="n">
        <f aca="false">SUM(D49:D66)</f>
        <v>1562.5</v>
      </c>
      <c r="E11" s="27" t="n">
        <f aca="false">SUM(E49:E66)</f>
        <v>3718.75</v>
      </c>
      <c r="F11" s="27" t="n">
        <f aca="false">SUM(F49:F66)</f>
        <v>6397.5</v>
      </c>
      <c r="G11" s="27" t="n">
        <f aca="false">SUM(G49:G66)</f>
        <v>9536.05</v>
      </c>
      <c r="H11" s="27" t="n">
        <f aca="false">SUM(H49:H66)</f>
        <v>13079.224</v>
      </c>
      <c r="I11" s="27" t="n">
        <f aca="false">SUM(I49:I66)</f>
        <v>16978.46712</v>
      </c>
      <c r="J11" s="27" t="n">
        <f aca="false">SUM(J49:J66)</f>
        <v>20409.8010656</v>
      </c>
      <c r="K11" s="27" t="n">
        <f aca="false">SUM(K49:K66)</f>
        <v>23429.374937728</v>
      </c>
      <c r="L11" s="27" t="n">
        <f aca="false">SUM(L49:L66)</f>
        <v>26086.5999452006</v>
      </c>
      <c r="M11" s="27" t="n">
        <f aca="false">SUM(M49:M66)</f>
        <v>28424.9579517766</v>
      </c>
      <c r="N11" s="27" t="n">
        <f aca="false">SUM(N49:N66)</f>
        <v>29701.4629975634</v>
      </c>
      <c r="O11" s="27" t="n">
        <f aca="false">SUM(O49:O66)</f>
        <v>30824.7874378558</v>
      </c>
      <c r="P11" s="27" t="n">
        <f aca="false">SUM(P49:P66)</f>
        <v>31813.3129453131</v>
      </c>
      <c r="Q11" s="27" t="n">
        <f aca="false">SUM(Q49:Q66)</f>
        <v>31901.9653918755</v>
      </c>
      <c r="R11" s="27" t="n">
        <f aca="false">SUM(R49:R66)</f>
        <v>31979.9795448505</v>
      </c>
      <c r="S11" s="27" t="n">
        <f aca="false">SUM(S49:S66)</f>
        <v>32048.6319994684</v>
      </c>
      <c r="T11" s="27" t="n">
        <f aca="false">SUM(T49:T66)</f>
        <v>31327.7961595322</v>
      </c>
      <c r="U11" s="27" t="n">
        <f aca="false">SUM(U49:U66)</f>
        <v>30693.4606203883</v>
      </c>
    </row>
    <row r="12" customFormat="false" ht="15" hidden="false" customHeight="false" outlineLevel="0" collapsed="false">
      <c r="A12" s="2" t="s">
        <v>229</v>
      </c>
      <c r="B12" s="2" t="s">
        <v>22</v>
      </c>
      <c r="C12" s="12" t="n">
        <f aca="false">SUM(D12:U12)</f>
        <v>44306.5393796117</v>
      </c>
      <c r="D12" s="27" t="n">
        <f aca="false">0</f>
        <v>0</v>
      </c>
      <c r="E12" s="27" t="n">
        <f aca="false">D11*Assumptions!$C$18</f>
        <v>187.5</v>
      </c>
      <c r="F12" s="27" t="n">
        <f aca="false">E11*Assumptions!$C$18</f>
        <v>446.25</v>
      </c>
      <c r="G12" s="27" t="n">
        <f aca="false">F11*Assumptions!$C$18</f>
        <v>767.7</v>
      </c>
      <c r="H12" s="27" t="n">
        <f aca="false">G11*Assumptions!$C$18</f>
        <v>1144.326</v>
      </c>
      <c r="I12" s="27" t="n">
        <f aca="false">H11*Assumptions!$C$18</f>
        <v>1569.50688</v>
      </c>
      <c r="J12" s="27" t="n">
        <f aca="false">I11*Assumptions!$C$18</f>
        <v>2037.4160544</v>
      </c>
      <c r="K12" s="27" t="n">
        <f aca="false">J11*Assumptions!$C$18</f>
        <v>2449.176127872</v>
      </c>
      <c r="L12" s="27" t="n">
        <f aca="false">K11*Assumptions!$C$18</f>
        <v>2811.52499252736</v>
      </c>
      <c r="M12" s="27" t="n">
        <f aca="false">L11*Assumptions!$C$18</f>
        <v>3130.39199342408</v>
      </c>
      <c r="N12" s="27" t="n">
        <f aca="false">M11*Assumptions!$C$18</f>
        <v>3410.99495421319</v>
      </c>
      <c r="O12" s="27" t="n">
        <f aca="false">N11*Assumptions!$C$18</f>
        <v>3564.17555970761</v>
      </c>
      <c r="P12" s="27" t="n">
        <f aca="false">O11*Assumptions!$C$18</f>
        <v>3698.97449254269</v>
      </c>
      <c r="Q12" s="27" t="n">
        <f aca="false">P11*Assumptions!$C$18</f>
        <v>3817.59755343757</v>
      </c>
      <c r="R12" s="27" t="n">
        <f aca="false">Q11*Assumptions!$C$18</f>
        <v>3828.23584702506</v>
      </c>
      <c r="S12" s="27" t="n">
        <f aca="false">R11*Assumptions!$C$18</f>
        <v>3837.59754538205</v>
      </c>
      <c r="T12" s="27" t="n">
        <f aca="false">S11*Assumptions!$C$18</f>
        <v>3845.83583993621</v>
      </c>
      <c r="U12" s="27" t="n">
        <f aca="false">T11*Assumptions!$C$18</f>
        <v>3759.33553914386</v>
      </c>
    </row>
    <row r="13" customFormat="false" ht="15" hidden="false" customHeight="false" outlineLevel="0" collapsed="false">
      <c r="A13" s="2" t="s">
        <v>230</v>
      </c>
      <c r="B13" s="2" t="s">
        <v>22</v>
      </c>
      <c r="D13" s="27" t="n">
        <f aca="false">D9</f>
        <v>3125</v>
      </c>
      <c r="E13" s="27" t="n">
        <f aca="false">D13+E9</f>
        <v>7812.5</v>
      </c>
      <c r="F13" s="27" t="n">
        <f aca="false">E13+F9</f>
        <v>14062.5</v>
      </c>
      <c r="G13" s="27" t="n">
        <f aca="false">F13+G9</f>
        <v>21875</v>
      </c>
      <c r="H13" s="27" t="n">
        <f aca="false">G13+H9</f>
        <v>31250</v>
      </c>
      <c r="I13" s="27" t="n">
        <f aca="false">H13+I9</f>
        <v>42187.5</v>
      </c>
      <c r="J13" s="27" t="n">
        <f aca="false">I13+J9</f>
        <v>53125</v>
      </c>
      <c r="K13" s="27" t="n">
        <f aca="false">J13+K9</f>
        <v>64062.5</v>
      </c>
      <c r="L13" s="27" t="n">
        <f aca="false">K13+L9</f>
        <v>75000</v>
      </c>
      <c r="M13" s="27" t="n">
        <f aca="false">L13+M9</f>
        <v>85937.5</v>
      </c>
      <c r="N13" s="27" t="n">
        <f aca="false">M13+N9</f>
        <v>95312.5</v>
      </c>
      <c r="O13" s="27" t="n">
        <f aca="false">N13+O9</f>
        <v>104687.5</v>
      </c>
      <c r="P13" s="27" t="n">
        <f aca="false">O13+P9</f>
        <v>114062.5</v>
      </c>
      <c r="Q13" s="27" t="n">
        <f aca="false">P13+Q9</f>
        <v>121875</v>
      </c>
      <c r="R13" s="27" t="n">
        <f aca="false">Q13+R9</f>
        <v>129687.5</v>
      </c>
      <c r="S13" s="27" t="n">
        <f aca="false">R13+S9</f>
        <v>137500</v>
      </c>
      <c r="T13" s="27" t="n">
        <f aca="false">S13+T9</f>
        <v>143750</v>
      </c>
      <c r="U13" s="27" t="n">
        <f aca="false">T13+U9</f>
        <v>150000</v>
      </c>
    </row>
    <row r="14" customFormat="false" ht="15" hidden="false" customHeight="false" outlineLevel="0" collapsed="false">
      <c r="A14" s="6" t="s">
        <v>231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customFormat="false" ht="15" hidden="false" customHeight="false" outlineLevel="0" collapsed="false">
      <c r="A15" s="2" t="s">
        <v>232</v>
      </c>
      <c r="B15" s="2" t="s">
        <v>233</v>
      </c>
      <c r="D15" s="11" t="n">
        <f aca="false">IF(0&gt;0,0/0,0)</f>
        <v>0</v>
      </c>
      <c r="E15" s="11" t="n">
        <f aca="false">IF(D11&gt;0,D21/D11,0)</f>
        <v>0.3</v>
      </c>
      <c r="F15" s="11" t="n">
        <f aca="false">IF(E11&gt;0,E21/E11,0)</f>
        <v>0.404268907563025</v>
      </c>
      <c r="G15" s="11" t="n">
        <f aca="false">IF(F11&gt;0,F21/F11,0)</f>
        <v>0.495131612661196</v>
      </c>
      <c r="H15" s="11" t="n">
        <f aca="false">IF(G11&gt;0,G21/G11,0)</f>
        <v>0.575824624117224</v>
      </c>
      <c r="I15" s="11" t="n">
        <f aca="false">IF(H11&gt;0,H21/H11,0)</f>
        <v>0.648616050895722</v>
      </c>
      <c r="J15" s="11" t="n">
        <f aca="false">IF(I11&gt;0,I21/I11,0)</f>
        <v>0.707458754793018</v>
      </c>
      <c r="K15" s="11" t="n">
        <f aca="false">IF(J11&gt;0,J21/J11,0)</f>
        <v>0.77700397200251</v>
      </c>
      <c r="L15" s="11" t="n">
        <f aca="false">IF(K11&gt;0,K21/K11,0)</f>
        <v>0.855327245099398</v>
      </c>
      <c r="M15" s="11" t="n">
        <f aca="false">IF(L11&gt;0,L21/L11,0)</f>
        <v>0.937890500582819</v>
      </c>
      <c r="N15" s="11" t="n">
        <f aca="false">IF(M11&gt;0,M21/M11,0)</f>
        <v>1.0147273291845</v>
      </c>
      <c r="O15" s="11" t="n">
        <f aca="false">IF(N11&gt;0,N21/N11,0)</f>
        <v>1.10638409029298</v>
      </c>
      <c r="P15" s="11" t="n">
        <f aca="false">IF(O11&gt;0,O21/O11,0)</f>
        <v>1.18522623764836</v>
      </c>
      <c r="Q15" s="11" t="n">
        <f aca="false">IF(P11&gt;0,P21/P11,0)</f>
        <v>1.25359299957377</v>
      </c>
      <c r="R15" s="11" t="n">
        <f aca="false">IF(Q11&gt;0,Q21/Q11,0)</f>
        <v>1.33805083149985</v>
      </c>
      <c r="S15" s="11" t="n">
        <f aca="false">IF(R11&gt;0,R21/R11,0)</f>
        <v>1.40836416137196</v>
      </c>
      <c r="T15" s="11" t="n">
        <f aca="false">IF(S11&gt;0,S21/S11,0)</f>
        <v>1.46695539113479</v>
      </c>
      <c r="U15" s="11" t="n">
        <f aca="false">IF(T11&gt;0,T21/T11,0)</f>
        <v>1.54614093880591</v>
      </c>
    </row>
    <row r="16" customFormat="false" ht="15" hidden="false" customHeight="false" outlineLevel="0" collapsed="false">
      <c r="A16" s="2" t="s">
        <v>234</v>
      </c>
      <c r="B16" s="2" t="s">
        <v>28</v>
      </c>
      <c r="C16" s="12" t="n">
        <f aca="false">SUM(D16:U16)</f>
        <v>119974.386635146</v>
      </c>
      <c r="D16" s="12" t="n">
        <f aca="false">D11*Assumptions!$C$19/Assumptions!$C$7</f>
        <v>468.75</v>
      </c>
      <c r="E16" s="12" t="n">
        <f aca="false">E11*Assumptions!$C$19/Assumptions!$C$7</f>
        <v>1115.625</v>
      </c>
      <c r="F16" s="12" t="n">
        <f aca="false">F11*Assumptions!$C$19/Assumptions!$C$7</f>
        <v>1919.25</v>
      </c>
      <c r="G16" s="12" t="n">
        <f aca="false">G11*Assumptions!$C$19/Assumptions!$C$7</f>
        <v>2860.815</v>
      </c>
      <c r="H16" s="12" t="n">
        <f aca="false">H11*Assumptions!$C$19/Assumptions!$C$7</f>
        <v>3923.7672</v>
      </c>
      <c r="I16" s="12" t="n">
        <f aca="false">I11*Assumptions!$C$19/Assumptions!$C$7</f>
        <v>5093.540136</v>
      </c>
      <c r="J16" s="12" t="n">
        <f aca="false">J11*Assumptions!$C$19/Assumptions!$C$7</f>
        <v>6122.94031968</v>
      </c>
      <c r="K16" s="12" t="n">
        <f aca="false">K11*Assumptions!$C$19/Assumptions!$C$7</f>
        <v>7028.8124813184</v>
      </c>
      <c r="L16" s="12" t="n">
        <f aca="false">L11*Assumptions!$C$19/Assumptions!$C$7</f>
        <v>7825.97998356019</v>
      </c>
      <c r="M16" s="12" t="n">
        <f aca="false">M11*Assumptions!$C$19/Assumptions!$C$7</f>
        <v>8527.48738553297</v>
      </c>
      <c r="N16" s="12" t="n">
        <f aca="false">N11*Assumptions!$C$19/Assumptions!$C$7</f>
        <v>8910.43889926901</v>
      </c>
      <c r="O16" s="12" t="n">
        <f aca="false">O11*Assumptions!$C$19/Assumptions!$C$7</f>
        <v>9247.43623135673</v>
      </c>
      <c r="P16" s="12" t="n">
        <f aca="false">P11*Assumptions!$C$19/Assumptions!$C$7</f>
        <v>9543.99388359392</v>
      </c>
      <c r="Q16" s="12" t="n">
        <f aca="false">Q11*Assumptions!$C$19/Assumptions!$C$7</f>
        <v>9570.58961756265</v>
      </c>
      <c r="R16" s="12" t="n">
        <f aca="false">R11*Assumptions!$C$19/Assumptions!$C$7</f>
        <v>9593.99386345513</v>
      </c>
      <c r="S16" s="12" t="n">
        <f aca="false">S11*Assumptions!$C$19/Assumptions!$C$7</f>
        <v>9614.58959984052</v>
      </c>
      <c r="T16" s="12" t="n">
        <f aca="false">T11*Assumptions!$C$19/Assumptions!$C$7</f>
        <v>9398.33884785966</v>
      </c>
      <c r="U16" s="12" t="n">
        <f aca="false">U11*Assumptions!$C$19/Assumptions!$C$7</f>
        <v>9208.0381861165</v>
      </c>
    </row>
    <row r="17" customFormat="false" ht="15" hidden="false" customHeight="false" outlineLevel="0" collapsed="false">
      <c r="A17" s="2" t="s">
        <v>235</v>
      </c>
      <c r="B17" s="2" t="s">
        <v>28</v>
      </c>
      <c r="C17" s="12" t="n">
        <f aca="false">SUM(D17:U17)</f>
        <v>49534.5055553894</v>
      </c>
      <c r="D17" s="12" t="n">
        <f aca="false">D12*D15</f>
        <v>0</v>
      </c>
      <c r="E17" s="12" t="n">
        <f aca="false">E12*E15</f>
        <v>56.25</v>
      </c>
      <c r="F17" s="12" t="n">
        <f aca="false">F12*F15</f>
        <v>180.405</v>
      </c>
      <c r="G17" s="12" t="n">
        <f aca="false">G12*G15</f>
        <v>380.11253904</v>
      </c>
      <c r="H17" s="12" t="n">
        <f aca="false">H12*H15</f>
        <v>658.931088817567</v>
      </c>
      <c r="I17" s="12" t="n">
        <f aca="false">I12*I15</f>
        <v>1018.00735435927</v>
      </c>
      <c r="J17" s="12" t="n">
        <f aca="false">J12*J15</f>
        <v>1441.38782484113</v>
      </c>
      <c r="K17" s="12" t="n">
        <f aca="false">K12*K15</f>
        <v>1903.01957949027</v>
      </c>
      <c r="L17" s="12" t="n">
        <f aca="false">L12*L15</f>
        <v>2404.77392638653</v>
      </c>
      <c r="M17" s="12" t="n">
        <f aca="false">M12*M15</f>
        <v>2935.96491373296</v>
      </c>
      <c r="N17" s="12" t="n">
        <f aca="false">N12*N15</f>
        <v>3461.22979975056</v>
      </c>
      <c r="O17" s="12" t="n">
        <f aca="false">O12*O15</f>
        <v>3943.34713427156</v>
      </c>
      <c r="P17" s="12" t="n">
        <f aca="false">P12*P15</f>
        <v>4384.12162095361</v>
      </c>
      <c r="Q17" s="12" t="n">
        <f aca="false">Q12*Q15</f>
        <v>4785.71356817928</v>
      </c>
      <c r="R17" s="12" t="n">
        <f aca="false">R12*R15</f>
        <v>5122.37415828941</v>
      </c>
      <c r="S17" s="12" t="n">
        <f aca="false">S12*S15</f>
        <v>5404.73484868508</v>
      </c>
      <c r="T17" s="12" t="n">
        <f aca="false">T12*T15</f>
        <v>5641.66961881379</v>
      </c>
      <c r="U17" s="12" t="n">
        <f aca="false">U12*U15</f>
        <v>5812.46257977833</v>
      </c>
    </row>
    <row r="18" customFormat="false" ht="15" hidden="false" customHeight="false" outlineLevel="0" collapsed="false">
      <c r="A18" s="2" t="s">
        <v>236</v>
      </c>
      <c r="B18" s="2" t="s">
        <v>237</v>
      </c>
      <c r="D18" s="15" t="n">
        <f aca="false">IF(D4&gt;=Assumptions!$C$31,1,0)</f>
        <v>0</v>
      </c>
      <c r="E18" s="15" t="n">
        <f aca="false">IF(E4&gt;=Assumptions!$C$31,1,0)</f>
        <v>0</v>
      </c>
      <c r="F18" s="15" t="n">
        <f aca="false">IF(F4&gt;=Assumptions!$C$31,1,0)</f>
        <v>1</v>
      </c>
      <c r="G18" s="15" t="n">
        <f aca="false">IF(G4&gt;=Assumptions!$C$31,1,0)</f>
        <v>1</v>
      </c>
      <c r="H18" s="15" t="n">
        <f aca="false">IF(H4&gt;=Assumptions!$C$31,1,0)</f>
        <v>1</v>
      </c>
      <c r="I18" s="15" t="n">
        <f aca="false">IF(I4&gt;=Assumptions!$C$31,1,0)</f>
        <v>1</v>
      </c>
      <c r="J18" s="15" t="n">
        <f aca="false">IF(J4&gt;=Assumptions!$C$31,1,0)</f>
        <v>1</v>
      </c>
      <c r="K18" s="15" t="n">
        <f aca="false">IF(K4&gt;=Assumptions!$C$31,1,0)</f>
        <v>1</v>
      </c>
      <c r="L18" s="15" t="n">
        <f aca="false">IF(L4&gt;=Assumptions!$C$31,1,0)</f>
        <v>1</v>
      </c>
      <c r="M18" s="15" t="n">
        <f aca="false">IF(M4&gt;=Assumptions!$C$31,1,0)</f>
        <v>1</v>
      </c>
      <c r="N18" s="15" t="n">
        <f aca="false">IF(N4&gt;=Assumptions!$C$31,1,0)</f>
        <v>1</v>
      </c>
      <c r="O18" s="15" t="n">
        <f aca="false">IF(O4&gt;=Assumptions!$C$31,1,0)</f>
        <v>1</v>
      </c>
      <c r="P18" s="15" t="n">
        <f aca="false">IF(P4&gt;=Assumptions!$C$31,1,0)</f>
        <v>1</v>
      </c>
      <c r="Q18" s="15" t="n">
        <f aca="false">IF(Q4&gt;=Assumptions!$C$31,1,0)</f>
        <v>1</v>
      </c>
      <c r="R18" s="15" t="n">
        <f aca="false">IF(R4&gt;=Assumptions!$C$31,1,0)</f>
        <v>1</v>
      </c>
      <c r="S18" s="15" t="n">
        <f aca="false">IF(S4&gt;=Assumptions!$C$31,1,0)</f>
        <v>1</v>
      </c>
      <c r="T18" s="15" t="n">
        <f aca="false">IF(T4&gt;=Assumptions!$C$31,1,0)</f>
        <v>1</v>
      </c>
      <c r="U18" s="15" t="n">
        <f aca="false">IF(U4&gt;=Assumptions!$C$31,1,0)</f>
        <v>1</v>
      </c>
    </row>
    <row r="19" customFormat="false" ht="15" hidden="false" customHeight="false" outlineLevel="0" collapsed="false">
      <c r="A19" s="2" t="s">
        <v>238</v>
      </c>
      <c r="B19" s="2" t="s">
        <v>122</v>
      </c>
      <c r="D19" s="19" t="n">
        <f aca="false">Assumptions!$C$20*D6*(1-Assumptions!$C$21*Assumptions!$C$22*D18)</f>
        <v>0.06</v>
      </c>
      <c r="E19" s="19" t="n">
        <f aca="false">Assumptions!$C$20*E6*(1-Assumptions!$C$21*Assumptions!$C$22*E18)</f>
        <v>0.06</v>
      </c>
      <c r="F19" s="19" t="n">
        <f aca="false">Assumptions!$C$20*F6*(1-Assumptions!$C$21*Assumptions!$C$22*F18)</f>
        <v>0.0564</v>
      </c>
      <c r="G19" s="19" t="n">
        <f aca="false">Assumptions!$C$20*G6*(1-Assumptions!$C$21*Assumptions!$C$22*G18)</f>
        <v>0.0564</v>
      </c>
      <c r="H19" s="19" t="n">
        <f aca="false">Assumptions!$C$20*H6*(1-Assumptions!$C$21*Assumptions!$C$22*H18)</f>
        <v>0.0564</v>
      </c>
      <c r="I19" s="19" t="n">
        <f aca="false">Assumptions!$C$20*I6*(1-Assumptions!$C$21*Assumptions!$C$22*I18)</f>
        <v>0.07332</v>
      </c>
      <c r="J19" s="19" t="n">
        <f aca="false">Assumptions!$C$20*J6*(1-Assumptions!$C$21*Assumptions!$C$22*J18)</f>
        <v>0.07896</v>
      </c>
      <c r="K19" s="19" t="n">
        <f aca="false">Assumptions!$C$20*K6*(1-Assumptions!$C$21*Assumptions!$C$22*K18)</f>
        <v>0.06768</v>
      </c>
      <c r="L19" s="19" t="n">
        <f aca="false">Assumptions!$C$20*L6*(1-Assumptions!$C$21*Assumptions!$C$22*L18)</f>
        <v>0.0564</v>
      </c>
      <c r="M19" s="19" t="n">
        <f aca="false">Assumptions!$C$20*M6*(1-Assumptions!$C$21*Assumptions!$C$22*M18)</f>
        <v>0.0564</v>
      </c>
      <c r="N19" s="19" t="n">
        <f aca="false">Assumptions!$C$20*N6*(1-Assumptions!$C$21*Assumptions!$C$22*N18)</f>
        <v>0.0564</v>
      </c>
      <c r="O19" s="19" t="n">
        <f aca="false">Assumptions!$C$20*O6*(1-Assumptions!$C$21*Assumptions!$C$22*O18)</f>
        <v>0.0564</v>
      </c>
      <c r="P19" s="19" t="n">
        <f aca="false">Assumptions!$C$20*P6*(1-Assumptions!$C$21*Assumptions!$C$22*P18)</f>
        <v>0.0564</v>
      </c>
      <c r="Q19" s="19" t="n">
        <f aca="false">Assumptions!$C$20*Q6*(1-Assumptions!$C$21*Assumptions!$C$22*Q18)</f>
        <v>0.0564</v>
      </c>
      <c r="R19" s="19" t="n">
        <f aca="false">Assumptions!$C$20*R6*(1-Assumptions!$C$21*Assumptions!$C$22*R18)</f>
        <v>0.0564</v>
      </c>
      <c r="S19" s="19" t="n">
        <f aca="false">Assumptions!$C$20*S6*(1-Assumptions!$C$21*Assumptions!$C$22*S18)</f>
        <v>0.0564</v>
      </c>
      <c r="T19" s="19" t="n">
        <f aca="false">Assumptions!$C$20*T6*(1-Assumptions!$C$21*Assumptions!$C$22*T18)</f>
        <v>0.0564</v>
      </c>
      <c r="U19" s="19" t="n">
        <f aca="false">Assumptions!$C$20*U6*(1-Assumptions!$C$21*Assumptions!$C$22*U18)</f>
        <v>0.07332</v>
      </c>
    </row>
    <row r="20" customFormat="false" ht="15" hidden="false" customHeight="false" outlineLevel="0" collapsed="false">
      <c r="A20" s="2" t="s">
        <v>239</v>
      </c>
      <c r="B20" s="2" t="s">
        <v>28</v>
      </c>
      <c r="C20" s="12" t="n">
        <f aca="false">SUM(D20:U20)</f>
        <v>21732.362188494</v>
      </c>
      <c r="D20" s="12" t="n">
        <f aca="false">(0-D17)*D19</f>
        <v>0</v>
      </c>
      <c r="E20" s="12" t="n">
        <f aca="false">(D21-E17)*E19</f>
        <v>24.75</v>
      </c>
      <c r="F20" s="12" t="n">
        <f aca="false">(E21-F17)*F19</f>
        <v>74.615508</v>
      </c>
      <c r="G20" s="12" t="n">
        <f aca="false">(F21-G17)*G19</f>
        <v>157.214546146944</v>
      </c>
      <c r="H20" s="12" t="n">
        <f aca="false">(G21-H17)*H19</f>
        <v>272.533898334946</v>
      </c>
      <c r="I20" s="12" t="n">
        <f aca="false">(H21-I17)*I19</f>
        <v>547.36219429189</v>
      </c>
      <c r="J20" s="12" t="n">
        <f aca="false">(I21-J17)*J19</f>
        <v>834.621206096006</v>
      </c>
      <c r="K20" s="12" t="n">
        <f aca="false">(J21-K17)*K19</f>
        <v>944.506677692611</v>
      </c>
      <c r="L20" s="12" t="n">
        <f aca="false">(K21-L17)*L19</f>
        <v>994.61449595347</v>
      </c>
      <c r="M20" s="12" t="n">
        <f aca="false">(L21-M17)*M19</f>
        <v>1214.31508831995</v>
      </c>
      <c r="N20" s="12" t="n">
        <f aca="false">(M21-N17)*N19</f>
        <v>1431.56464517683</v>
      </c>
      <c r="O20" s="12" t="n">
        <f aca="false">(N21-O17)*O19</f>
        <v>1630.96837473472</v>
      </c>
      <c r="P20" s="12" t="n">
        <f aca="false">(O21-P17)*P19</f>
        <v>1813.27270242641</v>
      </c>
      <c r="Q20" s="12" t="n">
        <f aca="false">(P21-Q17)*Q19</f>
        <v>1979.37113179895</v>
      </c>
      <c r="R20" s="12" t="n">
        <f aca="false">(Q21-R17)*R19</f>
        <v>2118.6139518685</v>
      </c>
      <c r="S20" s="12" t="n">
        <f aca="false">(R21-S17)*S19</f>
        <v>2235.39833341615</v>
      </c>
      <c r="T20" s="12" t="n">
        <f aca="false">(S21-T17)*T19</f>
        <v>2333.39455434138</v>
      </c>
      <c r="U20" s="12" t="n">
        <f aca="false">(T21-U17)*U19</f>
        <v>3125.24487989521</v>
      </c>
    </row>
    <row r="21" customFormat="false" ht="15" hidden="false" customHeight="false" outlineLevel="0" collapsed="false">
      <c r="A21" s="9" t="s">
        <v>240</v>
      </c>
      <c r="B21" s="2" t="s">
        <v>28</v>
      </c>
      <c r="D21" s="10" t="n">
        <f aca="false">0+D16-D17-D20</f>
        <v>468.75</v>
      </c>
      <c r="E21" s="10" t="n">
        <f aca="false">D21+E16-E17-E20</f>
        <v>1503.375</v>
      </c>
      <c r="F21" s="10" t="n">
        <f aca="false">E21+F16-F17-F20</f>
        <v>3167.604492</v>
      </c>
      <c r="G21" s="10" t="n">
        <f aca="false">F21+G16-G17-G20</f>
        <v>5491.09240681306</v>
      </c>
      <c r="H21" s="10" t="n">
        <f aca="false">G21+H16-H17-H20</f>
        <v>8483.39461966055</v>
      </c>
      <c r="I21" s="10" t="n">
        <f aca="false">H21+I16-I17-I20</f>
        <v>12011.5652070094</v>
      </c>
      <c r="J21" s="10" t="n">
        <f aca="false">I21+J16-J17-J20</f>
        <v>15858.4964957523</v>
      </c>
      <c r="K21" s="10" t="n">
        <f aca="false">J21+K16-K17-K20</f>
        <v>20039.7827198878</v>
      </c>
      <c r="L21" s="10" t="n">
        <f aca="false">K21+L16-L17-L20</f>
        <v>24466.374281108</v>
      </c>
      <c r="M21" s="10" t="n">
        <f aca="false">L21+M16-M17-M20</f>
        <v>28843.581664588</v>
      </c>
      <c r="N21" s="10" t="n">
        <f aca="false">M21+N16-N17-N20</f>
        <v>32861.2261189297</v>
      </c>
      <c r="O21" s="10" t="n">
        <f aca="false">N21+O16-O17-O20</f>
        <v>36534.3468412801</v>
      </c>
      <c r="P21" s="10" t="n">
        <f aca="false">O21+P16-P17-P20</f>
        <v>39880.946401494</v>
      </c>
      <c r="Q21" s="10" t="n">
        <f aca="false">P21+Q16-Q17-Q20</f>
        <v>42686.4513190784</v>
      </c>
      <c r="R21" s="10" t="n">
        <f aca="false">Q21+R16-R17-R20</f>
        <v>45039.4570723757</v>
      </c>
      <c r="S21" s="10" t="n">
        <f aca="false">R21+S16-S17-S20</f>
        <v>47013.9134901149</v>
      </c>
      <c r="T21" s="10" t="n">
        <f aca="false">S21+T16-T17-T20</f>
        <v>48437.1881648194</v>
      </c>
      <c r="U21" s="10" t="n">
        <f aca="false">T21+U16-U17-U20</f>
        <v>48707.5188912624</v>
      </c>
    </row>
    <row r="22" customFormat="false" ht="15" hidden="false" customHeight="false" outlineLevel="0" collapsed="false">
      <c r="A22" s="2" t="s">
        <v>56</v>
      </c>
      <c r="B22" s="2" t="s">
        <v>34</v>
      </c>
      <c r="D22" s="18" t="n">
        <f aca="false">IF(D4&lt;Assumptions!$C$33,0,MIN(1,(D4-Assumptions!$C$33+1)/Assumptions!$C$28))*Assumptions!$C$27</f>
        <v>0</v>
      </c>
      <c r="E22" s="18" t="n">
        <f aca="false">IF(E4&lt;Assumptions!$C$33,0,MIN(1,(E4-Assumptions!$C$33+1)/Assumptions!$C$28))*Assumptions!$C$27</f>
        <v>0</v>
      </c>
      <c r="F22" s="18" t="n">
        <f aca="false">IF(F4&lt;Assumptions!$C$33,0,MIN(1,(F4-Assumptions!$C$33+1)/Assumptions!$C$28))*Assumptions!$C$27</f>
        <v>0</v>
      </c>
      <c r="G22" s="18" t="n">
        <f aca="false">IF(G4&lt;Assumptions!$C$33,0,MIN(1,(G4-Assumptions!$C$33+1)/Assumptions!$C$28))*Assumptions!$C$27</f>
        <v>0</v>
      </c>
      <c r="H22" s="18" t="n">
        <f aca="false">IF(H4&lt;Assumptions!$C$33,0,MIN(1,(H4-Assumptions!$C$33+1)/Assumptions!$C$28))*Assumptions!$C$27</f>
        <v>0.00833333333333333</v>
      </c>
      <c r="I22" s="18" t="n">
        <f aca="false">IF(I4&lt;Assumptions!$C$33,0,MIN(1,(I4-Assumptions!$C$33+1)/Assumptions!$C$28))*Assumptions!$C$27</f>
        <v>0.0166666666666667</v>
      </c>
      <c r="J22" s="18" t="n">
        <f aca="false">IF(J4&lt;Assumptions!$C$33,0,MIN(1,(J4-Assumptions!$C$33+1)/Assumptions!$C$28))*Assumptions!$C$27</f>
        <v>0.025</v>
      </c>
      <c r="K22" s="18" t="n">
        <f aca="false">IF(K4&lt;Assumptions!$C$33,0,MIN(1,(K4-Assumptions!$C$33+1)/Assumptions!$C$28))*Assumptions!$C$27</f>
        <v>0.0333333333333333</v>
      </c>
      <c r="L22" s="18" t="n">
        <f aca="false">IF(L4&lt;Assumptions!$C$33,0,MIN(1,(L4-Assumptions!$C$33+1)/Assumptions!$C$28))*Assumptions!$C$27</f>
        <v>0.0416666666666667</v>
      </c>
      <c r="M22" s="18" t="n">
        <f aca="false">IF(M4&lt;Assumptions!$C$33,0,MIN(1,(M4-Assumptions!$C$33+1)/Assumptions!$C$28))*Assumptions!$C$27</f>
        <v>0.05</v>
      </c>
      <c r="N22" s="18" t="n">
        <f aca="false">IF(N4&lt;Assumptions!$C$33,0,MIN(1,(N4-Assumptions!$C$33+1)/Assumptions!$C$28))*Assumptions!$C$27</f>
        <v>0.05</v>
      </c>
      <c r="O22" s="18" t="n">
        <f aca="false">IF(O4&lt;Assumptions!$C$33,0,MIN(1,(O4-Assumptions!$C$33+1)/Assumptions!$C$28))*Assumptions!$C$27</f>
        <v>0.05</v>
      </c>
      <c r="P22" s="18" t="n">
        <f aca="false">IF(P4&lt;Assumptions!$C$33,0,MIN(1,(P4-Assumptions!$C$33+1)/Assumptions!$C$28))*Assumptions!$C$27</f>
        <v>0.05</v>
      </c>
      <c r="Q22" s="18" t="n">
        <f aca="false">IF(Q4&lt;Assumptions!$C$33,0,MIN(1,(Q4-Assumptions!$C$33+1)/Assumptions!$C$28))*Assumptions!$C$27</f>
        <v>0.05</v>
      </c>
      <c r="R22" s="18" t="n">
        <f aca="false">IF(R4&lt;Assumptions!$C$33,0,MIN(1,(R4-Assumptions!$C$33+1)/Assumptions!$C$28))*Assumptions!$C$27</f>
        <v>0.05</v>
      </c>
      <c r="S22" s="18" t="n">
        <f aca="false">IF(S4&lt;Assumptions!$C$33,0,MIN(1,(S4-Assumptions!$C$33+1)/Assumptions!$C$28))*Assumptions!$C$27</f>
        <v>0.05</v>
      </c>
      <c r="T22" s="18" t="n">
        <f aca="false">IF(T4&lt;Assumptions!$C$33,0,MIN(1,(T4-Assumptions!$C$33+1)/Assumptions!$C$28))*Assumptions!$C$27</f>
        <v>0.05</v>
      </c>
      <c r="U22" s="18" t="n">
        <f aca="false">IF(U4&lt;Assumptions!$C$33,0,MIN(1,(U4-Assumptions!$C$33+1)/Assumptions!$C$28))*Assumptions!$C$27</f>
        <v>0.05</v>
      </c>
    </row>
    <row r="23" customFormat="false" ht="15" hidden="false" customHeight="false" outlineLevel="0" collapsed="false">
      <c r="A23" s="2" t="s">
        <v>241</v>
      </c>
      <c r="B23" s="2" t="s">
        <v>28</v>
      </c>
      <c r="D23" s="12" t="n">
        <f aca="false">D21*D22</f>
        <v>0</v>
      </c>
      <c r="E23" s="12" t="n">
        <f aca="false">E21*E22</f>
        <v>0</v>
      </c>
      <c r="F23" s="12" t="n">
        <f aca="false">F21*F22</f>
        <v>0</v>
      </c>
      <c r="G23" s="12" t="n">
        <f aca="false">G21*G22</f>
        <v>0</v>
      </c>
      <c r="H23" s="12" t="n">
        <f aca="false">H21*H22</f>
        <v>70.6949551638379</v>
      </c>
      <c r="I23" s="12" t="n">
        <f aca="false">I21*I22</f>
        <v>200.192753450157</v>
      </c>
      <c r="J23" s="12" t="n">
        <f aca="false">J21*J22</f>
        <v>396.462412393806</v>
      </c>
      <c r="K23" s="12" t="n">
        <f aca="false">K21*K22</f>
        <v>667.992757329593</v>
      </c>
      <c r="L23" s="12" t="n">
        <f aca="false">L21*L22</f>
        <v>1019.43226171283</v>
      </c>
      <c r="M23" s="12" t="n">
        <f aca="false">M21*M22</f>
        <v>1442.1790832294</v>
      </c>
      <c r="N23" s="12" t="n">
        <f aca="false">N21*N22</f>
        <v>1643.06130594648</v>
      </c>
      <c r="O23" s="12" t="n">
        <f aca="false">O21*O22</f>
        <v>1826.71734206401</v>
      </c>
      <c r="P23" s="12" t="n">
        <f aca="false">P21*P22</f>
        <v>1994.0473200747</v>
      </c>
      <c r="Q23" s="12" t="n">
        <f aca="false">Q21*Q22</f>
        <v>2134.32256595392</v>
      </c>
      <c r="R23" s="12" t="n">
        <f aca="false">R21*R22</f>
        <v>2251.97285361878</v>
      </c>
      <c r="S23" s="12" t="n">
        <f aca="false">S21*S22</f>
        <v>2350.69567450575</v>
      </c>
      <c r="T23" s="12" t="n">
        <f aca="false">T21*T22</f>
        <v>2421.85940824097</v>
      </c>
      <c r="U23" s="12" t="n">
        <f aca="false">U21*U22</f>
        <v>2435.37594456312</v>
      </c>
    </row>
    <row r="24" customFormat="false" ht="15" hidden="false" customHeight="false" outlineLevel="0" collapsed="false">
      <c r="A24" s="2" t="s">
        <v>242</v>
      </c>
      <c r="B24" s="2" t="s">
        <v>28</v>
      </c>
      <c r="D24" s="12" t="n">
        <f aca="false">D21-D23</f>
        <v>468.75</v>
      </c>
      <c r="E24" s="12" t="n">
        <f aca="false">E21-E23</f>
        <v>1503.375</v>
      </c>
      <c r="F24" s="12" t="n">
        <f aca="false">F21-F23</f>
        <v>3167.604492</v>
      </c>
      <c r="G24" s="12" t="n">
        <f aca="false">G21-G23</f>
        <v>5491.09240681306</v>
      </c>
      <c r="H24" s="12" t="n">
        <f aca="false">H21-H23</f>
        <v>8412.69966449671</v>
      </c>
      <c r="I24" s="12" t="n">
        <f aca="false">I21-I23</f>
        <v>11811.3724535592</v>
      </c>
      <c r="J24" s="12" t="n">
        <f aca="false">J21-J23</f>
        <v>15462.0340833585</v>
      </c>
      <c r="K24" s="12" t="n">
        <f aca="false">K21-K23</f>
        <v>19371.7899625582</v>
      </c>
      <c r="L24" s="12" t="n">
        <f aca="false">L21-L23</f>
        <v>23446.9420193951</v>
      </c>
      <c r="M24" s="12" t="n">
        <f aca="false">M21-M23</f>
        <v>27401.4025813586</v>
      </c>
      <c r="N24" s="12" t="n">
        <f aca="false">N21-N23</f>
        <v>31218.1648129832</v>
      </c>
      <c r="O24" s="12" t="n">
        <f aca="false">O21-O23</f>
        <v>34707.6294992161</v>
      </c>
      <c r="P24" s="12" t="n">
        <f aca="false">P21-P23</f>
        <v>37886.8990814193</v>
      </c>
      <c r="Q24" s="12" t="n">
        <f aca="false">Q21-Q23</f>
        <v>40552.1287531245</v>
      </c>
      <c r="R24" s="12" t="n">
        <f aca="false">R21-R23</f>
        <v>42787.4842187569</v>
      </c>
      <c r="S24" s="12" t="n">
        <f aca="false">S21-S23</f>
        <v>44663.2178156092</v>
      </c>
      <c r="T24" s="12" t="n">
        <f aca="false">T21-T23</f>
        <v>46015.3287565785</v>
      </c>
      <c r="U24" s="12" t="n">
        <f aca="false">U21-U23</f>
        <v>46272.1429466993</v>
      </c>
    </row>
    <row r="25" customFormat="false" ht="15" hidden="false" customHeight="false" outlineLevel="0" collapsed="false">
      <c r="A25" s="2" t="s">
        <v>243</v>
      </c>
      <c r="B25" s="2" t="s">
        <v>28</v>
      </c>
      <c r="D25" s="12" t="n">
        <f aca="false">(0+D21)/2</f>
        <v>234.375</v>
      </c>
      <c r="E25" s="12" t="n">
        <f aca="false">(D21+E21)/2</f>
        <v>986.0625</v>
      </c>
      <c r="F25" s="12" t="n">
        <f aca="false">(E21+F21)/2</f>
        <v>2335.489746</v>
      </c>
      <c r="G25" s="12" t="n">
        <f aca="false">(F21+G21)/2</f>
        <v>4329.34844940653</v>
      </c>
      <c r="H25" s="12" t="n">
        <f aca="false">(G21+H21)/2</f>
        <v>6987.2435132368</v>
      </c>
      <c r="I25" s="12" t="n">
        <f aca="false">(H21+I21)/2</f>
        <v>10247.479913335</v>
      </c>
      <c r="J25" s="12" t="n">
        <f aca="false">(I21+J21)/2</f>
        <v>13935.0308513808</v>
      </c>
      <c r="K25" s="12" t="n">
        <f aca="false">(J21+K21)/2</f>
        <v>17949.13960782</v>
      </c>
      <c r="L25" s="12" t="n">
        <f aca="false">(K21+L21)/2</f>
        <v>22253.0785004979</v>
      </c>
      <c r="M25" s="12" t="n">
        <f aca="false">(L21+M21)/2</f>
        <v>26654.977972848</v>
      </c>
      <c r="N25" s="12" t="n">
        <f aca="false">(M21+N21)/2</f>
        <v>30852.4038917588</v>
      </c>
      <c r="O25" s="12" t="n">
        <f aca="false">(N21+O21)/2</f>
        <v>34697.7864801049</v>
      </c>
      <c r="P25" s="12" t="n">
        <f aca="false">(O21+P21)/2</f>
        <v>38207.6466213871</v>
      </c>
      <c r="Q25" s="12" t="n">
        <f aca="false">(P21+Q21)/2</f>
        <v>41283.6988602862</v>
      </c>
      <c r="R25" s="12" t="n">
        <f aca="false">(Q21+R21)/2</f>
        <v>43862.954195727</v>
      </c>
      <c r="S25" s="12" t="n">
        <f aca="false">(R21+S21)/2</f>
        <v>46026.6852812453</v>
      </c>
      <c r="T25" s="12" t="n">
        <f aca="false">(S21+T21)/2</f>
        <v>47725.5508274672</v>
      </c>
      <c r="U25" s="12" t="n">
        <f aca="false">(T21+U21)/2</f>
        <v>48572.3535280409</v>
      </c>
    </row>
    <row r="26" customFormat="false" ht="15" hidden="false" customHeight="false" outlineLevel="0" collapsed="false">
      <c r="A26" s="6" t="s">
        <v>244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customFormat="false" ht="15" hidden="false" customHeight="false" outlineLevel="0" collapsed="false">
      <c r="A27" s="2" t="s">
        <v>245</v>
      </c>
      <c r="B27" s="2" t="s">
        <v>233</v>
      </c>
      <c r="D27" s="11" t="n">
        <f aca="false">IF(0&gt;0,0/0,0)</f>
        <v>0</v>
      </c>
      <c r="E27" s="11" t="n">
        <f aca="false">IF(D11&gt;0,D30/D11,0)</f>
        <v>0.3</v>
      </c>
      <c r="F27" s="11" t="n">
        <f aca="false">IF(E11&gt;0,E30/E11,0)</f>
        <v>0.404268907563025</v>
      </c>
      <c r="G27" s="11" t="n">
        <f aca="false">IF(F11&gt;0,F30/F11,0)</f>
        <v>0.49438715123095</v>
      </c>
      <c r="H27" s="11" t="n">
        <f aca="false">IF(G11&gt;0,G30/G11,0)</f>
        <v>0.574359167261078</v>
      </c>
      <c r="I27" s="11" t="n">
        <f aca="false">IF(H11&gt;0,H30/H11,0)</f>
        <v>0.646402186552758</v>
      </c>
      <c r="J27" s="11" t="n">
        <f aca="false">IF(I11&gt;0,I30/I11,0)</f>
        <v>0.704017251503204</v>
      </c>
      <c r="K27" s="11" t="n">
        <f aca="false">IF(J11&gt;0,J30/J11,0)</f>
        <v>0.772086034916214</v>
      </c>
      <c r="L27" s="11" t="n">
        <f aca="false">IF(K11&gt;0,K30/K11,0)</f>
        <v>0.849255500546225</v>
      </c>
      <c r="M27" s="11" t="n">
        <f aca="false">IF(L11&gt;0,L30/L11,0)</f>
        <v>0.930945894116131</v>
      </c>
      <c r="N27" s="11" t="n">
        <f aca="false">IF(M11&gt;0,M30/M11,0)</f>
        <v>1.00672851368971</v>
      </c>
      <c r="O27" s="11" t="n">
        <f aca="false">IF(N11&gt;0,N30/N11,0)</f>
        <v>1.09697534106541</v>
      </c>
      <c r="P27" s="11" t="n">
        <f aca="false">IF(O11&gt;0,O30/O11,0)</f>
        <v>1.17434965343726</v>
      </c>
      <c r="Q27" s="11" t="n">
        <f aca="false">IF(P11&gt;0,P30/P11,0)</f>
        <v>1.24123732857103</v>
      </c>
      <c r="R27" s="11" t="n">
        <f aca="false">IF(Q11&gt;0,Q30/Q11,0)</f>
        <v>1.32389827598829</v>
      </c>
      <c r="S27" s="11" t="n">
        <f aca="false">IF(R11&gt;0,R30/R11,0)</f>
        <v>1.39245712203451</v>
      </c>
      <c r="T27" s="11" t="n">
        <f aca="false">IF(S11&gt;0,S30/S11,0)</f>
        <v>1.44937313492869</v>
      </c>
      <c r="U27" s="11" t="n">
        <f aca="false">IF(T11&gt;0,T30/T11,0)</f>
        <v>1.52650799892909</v>
      </c>
    </row>
    <row r="28" customFormat="false" ht="15" hidden="false" customHeight="false" outlineLevel="0" collapsed="false">
      <c r="A28" s="2" t="s">
        <v>246</v>
      </c>
      <c r="B28" s="2" t="s">
        <v>28</v>
      </c>
      <c r="C28" s="12" t="n">
        <f aca="false">SUM(D28:U28)</f>
        <v>49066.0465710211</v>
      </c>
      <c r="D28" s="12" t="n">
        <f aca="false">D12*D27</f>
        <v>0</v>
      </c>
      <c r="E28" s="12" t="n">
        <f aca="false">E12*E27</f>
        <v>56.25</v>
      </c>
      <c r="F28" s="12" t="n">
        <f aca="false">F12*F27</f>
        <v>180.405</v>
      </c>
      <c r="G28" s="12" t="n">
        <f aca="false">G12*G27</f>
        <v>379.541016</v>
      </c>
      <c r="H28" s="12" t="n">
        <f aca="false">H12*H27</f>
        <v>657.2541284352</v>
      </c>
      <c r="I28" s="12" t="n">
        <f aca="false">I12*I27</f>
        <v>1014.5326790416</v>
      </c>
      <c r="J28" s="12" t="n">
        <f aca="false">J12*J27</f>
        <v>1434.37605078719</v>
      </c>
      <c r="K28" s="12" t="n">
        <f aca="false">K12*K27</f>
        <v>1890.97468538014</v>
      </c>
      <c r="L28" s="12" t="n">
        <f aca="false">L12*L27</f>
        <v>2387.70306482704</v>
      </c>
      <c r="M28" s="12" t="n">
        <f aca="false">M12*M27</f>
        <v>2914.22557325215</v>
      </c>
      <c r="N28" s="12" t="n">
        <f aca="false">N12*N27</f>
        <v>3433.94588045814</v>
      </c>
      <c r="O28" s="12" t="n">
        <f aca="false">O12*O27</f>
        <v>3909.81270022725</v>
      </c>
      <c r="P28" s="12" t="n">
        <f aca="false">P12*P27</f>
        <v>4343.88941339079</v>
      </c>
      <c r="Q28" s="12" t="n">
        <f aca="false">Q12*Q27</f>
        <v>4738.54458878813</v>
      </c>
      <c r="R28" s="12" t="n">
        <f aca="false">R12*R27</f>
        <v>5068.19483795306</v>
      </c>
      <c r="S28" s="12" t="n">
        <f aca="false">S12*S27</f>
        <v>5343.69003356939</v>
      </c>
      <c r="T28" s="12" t="n">
        <f aca="false">T12*T27</f>
        <v>5574.05114774946</v>
      </c>
      <c r="U28" s="12" t="n">
        <f aca="false">U12*U27</f>
        <v>5738.65577116151</v>
      </c>
    </row>
    <row r="29" customFormat="false" ht="15" hidden="false" customHeight="false" outlineLevel="0" collapsed="false">
      <c r="A29" s="2" t="s">
        <v>247</v>
      </c>
      <c r="B29" s="2" t="s">
        <v>28</v>
      </c>
      <c r="C29" s="12" t="n">
        <f aca="false">SUM(D29:U29)</f>
        <v>22899.3373239281</v>
      </c>
      <c r="D29" s="12" t="n">
        <f aca="false">(0-D28)*Assumptions!$C$20*D6</f>
        <v>0</v>
      </c>
      <c r="E29" s="12" t="n">
        <f aca="false">(D30-E28)*Assumptions!$C$20*E6</f>
        <v>24.75</v>
      </c>
      <c r="F29" s="12" t="n">
        <f aca="false">(E30-F28)*Assumptions!$C$20*F6</f>
        <v>79.3782</v>
      </c>
      <c r="G29" s="12" t="n">
        <f aca="false">(F30-G28)*Assumptions!$C$20*G6</f>
        <v>166.99804704</v>
      </c>
      <c r="H29" s="12" t="n">
        <f aca="false">(G30-H28)*Assumptions!$C$20*H6</f>
        <v>289.191816511488</v>
      </c>
      <c r="I29" s="12" t="n">
        <f aca="false">(H30-I28)*Assumptions!$C$20*I6</f>
        <v>580.312692411794</v>
      </c>
      <c r="J29" s="12" t="n">
        <f aca="false">(I30-J28)*Assumptions!$C$20*J6</f>
        <v>883.575647284909</v>
      </c>
      <c r="K29" s="12" t="n">
        <f aca="false">(J30-K28)*Assumptions!$C$20*K6</f>
        <v>998.434633880713</v>
      </c>
      <c r="L29" s="12" t="n">
        <f aca="false">(K30-L28)*Assumptions!$C$20*L6</f>
        <v>1050.5893485239</v>
      </c>
      <c r="M29" s="12" t="n">
        <f aca="false">(L30-M28)*Assumptions!$C$20*M6</f>
        <v>1282.25925223095</v>
      </c>
      <c r="N29" s="12" t="n">
        <f aca="false">(M30-N28)*Assumptions!$C$20*N6</f>
        <v>1510.93618740158</v>
      </c>
      <c r="O29" s="12" t="n">
        <f aca="false">(N30-O28)*Assumptions!$C$20*O6</f>
        <v>1720.31758809999</v>
      </c>
      <c r="P29" s="12" t="n">
        <f aca="false">(O30-P28)*Assumptions!$C$20*P6</f>
        <v>1911.31134189195</v>
      </c>
      <c r="Q29" s="12" t="n">
        <f aca="false">(P30-Q28)*Assumptions!$C$20*Q6</f>
        <v>2084.95961906678</v>
      </c>
      <c r="R29" s="12" t="n">
        <f aca="false">(Q30-R28)*Assumptions!$C$20*R6</f>
        <v>2230.00572869935</v>
      </c>
      <c r="S29" s="12" t="n">
        <f aca="false">(R30-S28)*Assumptions!$C$20*S6</f>
        <v>2351.22361477053</v>
      </c>
      <c r="T29" s="12" t="n">
        <f aca="false">(S30-T28)*Assumptions!$C$20*T6</f>
        <v>2452.58250500976</v>
      </c>
      <c r="U29" s="12" t="n">
        <f aca="false">(T30-U28)*Assumptions!$C$20*U6</f>
        <v>3282.51110110439</v>
      </c>
    </row>
    <row r="30" customFormat="false" ht="15" hidden="false" customHeight="false" outlineLevel="0" collapsed="false">
      <c r="A30" s="2" t="s">
        <v>248</v>
      </c>
      <c r="B30" s="2" t="s">
        <v>28</v>
      </c>
      <c r="D30" s="12" t="n">
        <f aca="false">0+D16-D28-D29</f>
        <v>468.75</v>
      </c>
      <c r="E30" s="12" t="n">
        <f aca="false">D30+E16-E28-E29</f>
        <v>1503.375</v>
      </c>
      <c r="F30" s="12" t="n">
        <f aca="false">E30+F16-F28-F29</f>
        <v>3162.8418</v>
      </c>
      <c r="G30" s="12" t="n">
        <f aca="false">F30+G16-G28-G29</f>
        <v>5477.11773696</v>
      </c>
      <c r="H30" s="12" t="n">
        <f aca="false">G30+H16-H28-H29</f>
        <v>8454.43899201331</v>
      </c>
      <c r="I30" s="12" t="n">
        <f aca="false">H30+I16-I28-I29</f>
        <v>11953.1337565599</v>
      </c>
      <c r="J30" s="12" t="n">
        <f aca="false">I30+J16-J28-J29</f>
        <v>15758.1223781678</v>
      </c>
      <c r="K30" s="12" t="n">
        <f aca="false">J30+K16-K28-K29</f>
        <v>19897.5255402254</v>
      </c>
      <c r="L30" s="12" t="n">
        <f aca="false">K30+L16-L28-L29</f>
        <v>24285.2131104346</v>
      </c>
      <c r="M30" s="12" t="n">
        <f aca="false">L30+M16-M28-M29</f>
        <v>28616.2156704845</v>
      </c>
      <c r="N30" s="12" t="n">
        <f aca="false">M30+N16-N28-N29</f>
        <v>32581.7725018938</v>
      </c>
      <c r="O30" s="12" t="n">
        <f aca="false">N30+O16-O28-O29</f>
        <v>36199.0784449233</v>
      </c>
      <c r="P30" s="12" t="n">
        <f aca="false">O30+P16-P28-P29</f>
        <v>39487.8715732345</v>
      </c>
      <c r="Q30" s="12" t="n">
        <f aca="false">P30+Q16-Q28-Q29</f>
        <v>42234.9569829422</v>
      </c>
      <c r="R30" s="12" t="n">
        <f aca="false">Q30+R16-R28-R29</f>
        <v>44530.7502797449</v>
      </c>
      <c r="S30" s="12" t="n">
        <f aca="false">R30+S16-S28-S29</f>
        <v>46450.4262312455</v>
      </c>
      <c r="T30" s="12" t="n">
        <f aca="false">S30+T16-T28-T29</f>
        <v>47822.1314263459</v>
      </c>
      <c r="U30" s="12" t="n">
        <f aca="false">T30+U16-U28-U29</f>
        <v>48009.0027401966</v>
      </c>
    </row>
    <row r="31" customFormat="false" ht="15" hidden="false" customHeight="false" outlineLevel="0" collapsed="false">
      <c r="A31" s="9" t="s">
        <v>249</v>
      </c>
      <c r="B31" s="2" t="s">
        <v>28</v>
      </c>
      <c r="D31" s="10" t="n">
        <f aca="false">D21-D30</f>
        <v>0</v>
      </c>
      <c r="E31" s="10" t="n">
        <f aca="false">E21-E30</f>
        <v>0</v>
      </c>
      <c r="F31" s="10" t="n">
        <f aca="false">F21-F30</f>
        <v>4.76269200000024</v>
      </c>
      <c r="G31" s="10" t="n">
        <f aca="false">G21-G30</f>
        <v>13.9746698530562</v>
      </c>
      <c r="H31" s="10" t="n">
        <f aca="false">H21-H30</f>
        <v>28.9556276472322</v>
      </c>
      <c r="I31" s="10" t="n">
        <f aca="false">I21-I30</f>
        <v>58.4314504494669</v>
      </c>
      <c r="J31" s="10" t="n">
        <f aca="false">J21-J30</f>
        <v>100.374117584437</v>
      </c>
      <c r="K31" s="10" t="n">
        <f aca="false">K21-K30</f>
        <v>142.257179662403</v>
      </c>
      <c r="L31" s="10" t="n">
        <f aca="false">L21-L30</f>
        <v>181.161170673346</v>
      </c>
      <c r="M31" s="10" t="n">
        <f aca="false">M21-M30</f>
        <v>227.365994103551</v>
      </c>
      <c r="N31" s="10" t="n">
        <f aca="false">N21-N30</f>
        <v>279.45361703587</v>
      </c>
      <c r="O31" s="10" t="n">
        <f aca="false">O21-O30</f>
        <v>335.268396356842</v>
      </c>
      <c r="P31" s="10" t="n">
        <f aca="false">P21-P30</f>
        <v>393.074828259545</v>
      </c>
      <c r="Q31" s="10" t="n">
        <f aca="false">Q21-Q30</f>
        <v>451.494336136231</v>
      </c>
      <c r="R31" s="10" t="n">
        <f aca="false">R21-R30</f>
        <v>508.706792630728</v>
      </c>
      <c r="S31" s="10" t="n">
        <f aca="false">S21-S30</f>
        <v>563.487258869434</v>
      </c>
      <c r="T31" s="10" t="n">
        <f aca="false">T21-T30</f>
        <v>615.056738473475</v>
      </c>
      <c r="U31" s="10" t="n">
        <f aca="false">U21-U30</f>
        <v>698.516151065829</v>
      </c>
    </row>
    <row r="32" customFormat="false" ht="15" hidden="false" customHeight="false" outlineLevel="0" collapsed="false">
      <c r="A32" s="6" t="s">
        <v>250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customFormat="false" ht="15" hidden="false" customHeight="false" outlineLevel="0" collapsed="false">
      <c r="A33" s="2" t="s">
        <v>251</v>
      </c>
      <c r="B33" s="2" t="s">
        <v>28</v>
      </c>
      <c r="C33" s="12" t="n">
        <f aca="false">SUM(D33:U33)</f>
        <v>104.286048116842</v>
      </c>
      <c r="D33" s="12" t="n">
        <f aca="false">D25*(1-D22)*Assumptions!$C$24/12</f>
        <v>0.05859375</v>
      </c>
      <c r="E33" s="12" t="n">
        <f aca="false">E25*(1-E22)*Assumptions!$C$24/12</f>
        <v>0.246515625</v>
      </c>
      <c r="F33" s="12" t="n">
        <f aca="false">F25*(1-F22)*Assumptions!$C$24/12</f>
        <v>0.5838724365</v>
      </c>
      <c r="G33" s="12" t="n">
        <f aca="false">G25*(1-G22)*Assumptions!$C$24/12</f>
        <v>1.08233711235163</v>
      </c>
      <c r="H33" s="12" t="n">
        <f aca="false">H25*(1-H22)*Assumptions!$C$24/12</f>
        <v>1.73225412098996</v>
      </c>
      <c r="I33" s="12" t="n">
        <f aca="false">I25*(1-I22)*Assumptions!$C$24/12</f>
        <v>2.51917214536151</v>
      </c>
      <c r="J33" s="12" t="n">
        <f aca="false">J25*(1-J22)*Assumptions!$C$24/12</f>
        <v>3.39666377002408</v>
      </c>
      <c r="K33" s="12" t="n">
        <f aca="false">K25*(1-K22)*Assumptions!$C$24/12</f>
        <v>4.3377087385565</v>
      </c>
      <c r="L33" s="12" t="n">
        <f aca="false">L25*(1-L22)*Assumptions!$C$24/12</f>
        <v>5.33146672407762</v>
      </c>
      <c r="M33" s="12" t="n">
        <f aca="false">M25*(1-M22)*Assumptions!$C$24/12</f>
        <v>6.3305572685514</v>
      </c>
      <c r="N33" s="12" t="n">
        <f aca="false">N25*(1-N22)*Assumptions!$C$24/12</f>
        <v>7.32744592429272</v>
      </c>
      <c r="O33" s="12" t="n">
        <f aca="false">O25*(1-O22)*Assumptions!$C$24/12</f>
        <v>8.24072428902491</v>
      </c>
      <c r="P33" s="12" t="n">
        <f aca="false">P25*(1-P22)*Assumptions!$C$24/12</f>
        <v>9.07431607257943</v>
      </c>
      <c r="Q33" s="12" t="n">
        <f aca="false">Q25*(1-Q22)*Assumptions!$C$24/12</f>
        <v>9.80487847931798</v>
      </c>
      <c r="R33" s="12" t="n">
        <f aca="false">R25*(1-R22)*Assumptions!$C$24/12</f>
        <v>10.4174516214852</v>
      </c>
      <c r="S33" s="12" t="n">
        <f aca="false">S25*(1-S22)*Assumptions!$C$24/12</f>
        <v>10.9313377542958</v>
      </c>
      <c r="T33" s="12" t="n">
        <f aca="false">T25*(1-T22)*Assumptions!$C$24/12</f>
        <v>11.3348183215235</v>
      </c>
      <c r="U33" s="12" t="n">
        <f aca="false">U25*(1-U22)*Assumptions!$C$24/12</f>
        <v>11.5359339629097</v>
      </c>
    </row>
    <row r="34" customFormat="false" ht="15" hidden="false" customHeight="false" outlineLevel="0" collapsed="false">
      <c r="A34" s="2" t="s">
        <v>252</v>
      </c>
      <c r="B34" s="2" t="s">
        <v>28</v>
      </c>
      <c r="C34" s="12" t="n">
        <f aca="false">SUM(D34:U34)</f>
        <v>8.33213053048962</v>
      </c>
      <c r="D34" s="12" t="n">
        <f aca="false">D25*D22*Assumptions!$C$25/12</f>
        <v>0</v>
      </c>
      <c r="E34" s="12" t="n">
        <f aca="false">E25*E22*Assumptions!$C$25/12</f>
        <v>0</v>
      </c>
      <c r="F34" s="12" t="n">
        <f aca="false">F25*F22*Assumptions!$C$25/12</f>
        <v>0</v>
      </c>
      <c r="G34" s="12" t="n">
        <f aca="false">G25*G22*Assumptions!$C$25/12</f>
        <v>0</v>
      </c>
      <c r="H34" s="12" t="n">
        <f aca="false">H25*H22*Assumptions!$C$25/12</f>
        <v>0.0242612621987389</v>
      </c>
      <c r="I34" s="12" t="n">
        <f aca="false">I25*I22*Assumptions!$C$25/12</f>
        <v>0.071163054953715</v>
      </c>
      <c r="J34" s="12" t="n">
        <f aca="false">J25*J22*Assumptions!$C$25/12</f>
        <v>0.14515657136855</v>
      </c>
      <c r="K34" s="12" t="n">
        <f aca="false">K25*K22*Assumptions!$C$25/12</f>
        <v>0.249293605664167</v>
      </c>
      <c r="L34" s="12" t="n">
        <f aca="false">L25*L22*Assumptions!$C$25/12</f>
        <v>0.386338168411421</v>
      </c>
      <c r="M34" s="12" t="n">
        <f aca="false">M25*M22*Assumptions!$C$25/12</f>
        <v>0.555312041101</v>
      </c>
      <c r="N34" s="12" t="n">
        <f aca="false">N25*N22*Assumptions!$C$25/12</f>
        <v>0.642758414411643</v>
      </c>
      <c r="O34" s="12" t="n">
        <f aca="false">O25*O22*Assumptions!$C$25/12</f>
        <v>0.722870551668852</v>
      </c>
      <c r="P34" s="12" t="n">
        <f aca="false">P25*P22*Assumptions!$C$25/12</f>
        <v>0.795992637945564</v>
      </c>
      <c r="Q34" s="12" t="n">
        <f aca="false">Q25*Q22*Assumptions!$C$25/12</f>
        <v>0.860077059589296</v>
      </c>
      <c r="R34" s="12" t="n">
        <f aca="false">R25*R22*Assumptions!$C$25/12</f>
        <v>0.913811545744313</v>
      </c>
      <c r="S34" s="12" t="n">
        <f aca="false">S25*S22*Assumptions!$C$25/12</f>
        <v>0.95888927669261</v>
      </c>
      <c r="T34" s="12" t="n">
        <f aca="false">T25*T22*Assumptions!$C$25/12</f>
        <v>0.994282308905567</v>
      </c>
      <c r="U34" s="12" t="n">
        <f aca="false">U25*U22*Assumptions!$C$25/12</f>
        <v>1.01192403183419</v>
      </c>
    </row>
    <row r="35" customFormat="false" ht="15" hidden="false" customHeight="false" outlineLevel="0" collapsed="false">
      <c r="A35" s="2" t="s">
        <v>253</v>
      </c>
      <c r="B35" s="2" t="s">
        <v>28</v>
      </c>
      <c r="C35" s="12" t="n">
        <f aca="false">SUM(D35:U35)</f>
        <v>112.618178647331</v>
      </c>
      <c r="D35" s="12" t="n">
        <f aca="false">D33+D34</f>
        <v>0.05859375</v>
      </c>
      <c r="E35" s="12" t="n">
        <f aca="false">E33+E34</f>
        <v>0.246515625</v>
      </c>
      <c r="F35" s="12" t="n">
        <f aca="false">F33+F34</f>
        <v>0.5838724365</v>
      </c>
      <c r="G35" s="12" t="n">
        <f aca="false">G33+G34</f>
        <v>1.08233711235163</v>
      </c>
      <c r="H35" s="12" t="n">
        <f aca="false">H33+H34</f>
        <v>1.7565153831887</v>
      </c>
      <c r="I35" s="12" t="n">
        <f aca="false">I33+I34</f>
        <v>2.59033520031523</v>
      </c>
      <c r="J35" s="12" t="n">
        <f aca="false">J33+J34</f>
        <v>3.54182034139263</v>
      </c>
      <c r="K35" s="12" t="n">
        <f aca="false">K33+K34</f>
        <v>4.58700234422067</v>
      </c>
      <c r="L35" s="12" t="n">
        <f aca="false">L33+L34</f>
        <v>5.71780489248904</v>
      </c>
      <c r="M35" s="12" t="n">
        <f aca="false">M33+M34</f>
        <v>6.8858693096524</v>
      </c>
      <c r="N35" s="12" t="n">
        <f aca="false">N33+N34</f>
        <v>7.97020433870437</v>
      </c>
      <c r="O35" s="12" t="n">
        <f aca="false">O33+O34</f>
        <v>8.96359484069376</v>
      </c>
      <c r="P35" s="12" t="n">
        <f aca="false">P33+P34</f>
        <v>9.87030871052499</v>
      </c>
      <c r="Q35" s="12" t="n">
        <f aca="false">Q33+Q34</f>
        <v>10.6649555389073</v>
      </c>
      <c r="R35" s="12" t="n">
        <f aca="false">R33+R34</f>
        <v>11.3312631672295</v>
      </c>
      <c r="S35" s="12" t="n">
        <f aca="false">S33+S34</f>
        <v>11.8902270309884</v>
      </c>
      <c r="T35" s="12" t="n">
        <f aca="false">T33+T34</f>
        <v>12.329100630429</v>
      </c>
      <c r="U35" s="12" t="n">
        <f aca="false">U33+U34</f>
        <v>12.5478579947439</v>
      </c>
    </row>
    <row r="36" customFormat="false" ht="15" hidden="false" customHeight="false" outlineLevel="0" collapsed="false">
      <c r="A36" s="9" t="s">
        <v>254</v>
      </c>
      <c r="B36" s="2" t="s">
        <v>28</v>
      </c>
      <c r="C36" s="10" t="n">
        <f aca="false">SUM(D36:U36)</f>
        <v>56.3090893236657</v>
      </c>
      <c r="D36" s="10" t="n">
        <f aca="false">D35*Assumptions!$C$26</f>
        <v>0.029296875</v>
      </c>
      <c r="E36" s="10" t="n">
        <f aca="false">E35*Assumptions!$C$26</f>
        <v>0.1232578125</v>
      </c>
      <c r="F36" s="10" t="n">
        <f aca="false">F35*Assumptions!$C$26</f>
        <v>0.29193621825</v>
      </c>
      <c r="G36" s="10" t="n">
        <f aca="false">G35*Assumptions!$C$26</f>
        <v>0.541168556175816</v>
      </c>
      <c r="H36" s="10" t="n">
        <f aca="false">H35*Assumptions!$C$26</f>
        <v>0.878257691594348</v>
      </c>
      <c r="I36" s="10" t="n">
        <f aca="false">I35*Assumptions!$C$26</f>
        <v>1.29516760015761</v>
      </c>
      <c r="J36" s="10" t="n">
        <f aca="false">J35*Assumptions!$C$26</f>
        <v>1.77091017069631</v>
      </c>
      <c r="K36" s="10" t="n">
        <f aca="false">K35*Assumptions!$C$26</f>
        <v>2.29350117211034</v>
      </c>
      <c r="L36" s="10" t="n">
        <f aca="false">L35*Assumptions!$C$26</f>
        <v>2.85890244624452</v>
      </c>
      <c r="M36" s="10" t="n">
        <f aca="false">M35*Assumptions!$C$26</f>
        <v>3.4429346548262</v>
      </c>
      <c r="N36" s="10" t="n">
        <f aca="false">N35*Assumptions!$C$26</f>
        <v>3.98510216935218</v>
      </c>
      <c r="O36" s="10" t="n">
        <f aca="false">O35*Assumptions!$C$26</f>
        <v>4.48179742034688</v>
      </c>
      <c r="P36" s="10" t="n">
        <f aca="false">P35*Assumptions!$C$26</f>
        <v>4.9351543552625</v>
      </c>
      <c r="Q36" s="10" t="n">
        <f aca="false">Q35*Assumptions!$C$26</f>
        <v>5.33247776945364</v>
      </c>
      <c r="R36" s="10" t="n">
        <f aca="false">R35*Assumptions!$C$26</f>
        <v>5.66563158361474</v>
      </c>
      <c r="S36" s="10" t="n">
        <f aca="false">S35*Assumptions!$C$26</f>
        <v>5.94511351549419</v>
      </c>
      <c r="T36" s="10" t="n">
        <f aca="false">T35*Assumptions!$C$26</f>
        <v>6.16455031521451</v>
      </c>
      <c r="U36" s="10" t="n">
        <f aca="false">U35*Assumptions!$C$26</f>
        <v>6.27392899737195</v>
      </c>
    </row>
    <row r="37" customFormat="false" ht="15" hidden="false" customHeight="false" outlineLevel="0" collapsed="false">
      <c r="A37" s="2" t="s">
        <v>255</v>
      </c>
      <c r="B37" s="2" t="s">
        <v>58</v>
      </c>
      <c r="D37" s="19" t="n">
        <f aca="false">IF(D11&gt;0,SUM(D71:D88)/D11,0)</f>
        <v>0</v>
      </c>
      <c r="E37" s="19" t="n">
        <f aca="false">IF(E11&gt;0,SUM(E71:E88)/E11,0)</f>
        <v>0</v>
      </c>
      <c r="F37" s="19" t="n">
        <f aca="false">IF(F11&gt;0,SUM(F71:F88)/F11,0)</f>
        <v>0</v>
      </c>
      <c r="G37" s="19" t="n">
        <f aca="false">IF(G11&gt;0,SUM(G71:G88)/G11,0)</f>
        <v>0.00025</v>
      </c>
      <c r="H37" s="19" t="n">
        <f aca="false">IF(H11&gt;0,SUM(H71:H88)/H11,0)</f>
        <v>0.00041040179447955</v>
      </c>
      <c r="I37" s="19" t="n">
        <f aca="false">IF(I11&gt;0,SUM(I71:I88)/I11,0)</f>
        <v>0.000528211721153305</v>
      </c>
      <c r="J37" s="19" t="n">
        <f aca="false">IF(J11&gt;0,SUM(J71:J88)/J11,0)</f>
        <v>0.000716279707235365</v>
      </c>
      <c r="K37" s="19" t="n">
        <f aca="false">IF(K11&gt;0,SUM(K71:K88)/K11,0)</f>
        <v>0.000778256434244054</v>
      </c>
      <c r="L37" s="19" t="n">
        <f aca="false">IF(L11&gt;0,SUM(L71:L88)/L11,0)</f>
        <v>0.000828345346864812</v>
      </c>
      <c r="M37" s="19" t="n">
        <f aca="false">IF(M11&gt;0,SUM(M71:M88)/M11,0)</f>
        <v>0.000865089059418582</v>
      </c>
      <c r="N37" s="19" t="n">
        <f aca="false">IF(N11&gt;0,SUM(N71:N88)/N11,0)</f>
        <v>0.000916227691213863</v>
      </c>
      <c r="O37" s="19" t="n">
        <f aca="false">IF(O11&gt;0,SUM(O71:O88)/O11,0)</f>
        <v>0.000948936128940055</v>
      </c>
      <c r="P37" s="19" t="n">
        <f aca="false">IF(P11&gt;0,SUM(P71:P88)/P11,0)</f>
        <v>0.000971556336090845</v>
      </c>
      <c r="Q37" s="19" t="n">
        <f aca="false">IF(Q11&gt;0,SUM(Q71:Q88)/Q11,0)</f>
        <v>0.00100011593686577</v>
      </c>
      <c r="R37" s="19" t="n">
        <f aca="false">IF(R11&gt;0,SUM(R71:R88)/R11,0)</f>
        <v>0.00101937669512038</v>
      </c>
      <c r="S37" s="19" t="n">
        <f aca="false">IF(S11&gt;0,SUM(S71:S88)/S11,0)</f>
        <v>0.00103152920503328</v>
      </c>
      <c r="T37" s="19" t="n">
        <f aca="false">IF(T11&gt;0,SUM(T71:T88)/T11,0)</f>
        <v>0.00105343851088289</v>
      </c>
      <c r="U37" s="19" t="n">
        <f aca="false">IF(U11&gt;0,SUM(U71:U88)/U11,0)</f>
        <v>0.00106706851505753</v>
      </c>
    </row>
    <row r="38" customFormat="false" ht="15" hidden="false" customHeight="false" outlineLevel="0" collapsed="false">
      <c r="A38" s="2" t="s">
        <v>256</v>
      </c>
      <c r="B38" s="2" t="s">
        <v>28</v>
      </c>
      <c r="C38" s="12" t="n">
        <f aca="false">SUM(D38:U38)</f>
        <v>32.4383284206111</v>
      </c>
      <c r="D38" s="12" t="n">
        <f aca="false">D25*(1-D22)*D37/12</f>
        <v>0</v>
      </c>
      <c r="E38" s="12" t="n">
        <f aca="false">E25*(1-E22)*E37/12</f>
        <v>0</v>
      </c>
      <c r="F38" s="12" t="n">
        <f aca="false">F25*(1-F22)*F37/12</f>
        <v>0</v>
      </c>
      <c r="G38" s="12" t="n">
        <f aca="false">G25*(1-G22)*G37/12</f>
        <v>0.090194759362636</v>
      </c>
      <c r="H38" s="12" t="n">
        <f aca="false">H25*(1-H22)*H37/12</f>
        <v>0.236973399916291</v>
      </c>
      <c r="I38" s="12" t="n">
        <f aca="false">I25*(1-I22)*I37/12</f>
        <v>0.443552084927623</v>
      </c>
      <c r="J38" s="12" t="n">
        <f aca="false">J25*(1-J22)*J37/12</f>
        <v>0.810987110256605</v>
      </c>
      <c r="K38" s="12" t="n">
        <f aca="false">K25*(1-K22)*K37/12</f>
        <v>1.12528324521942</v>
      </c>
      <c r="L38" s="12" t="n">
        <f aca="false">L25*(1-L22)*L37/12</f>
        <v>1.47209855095143</v>
      </c>
      <c r="M38" s="12" t="n">
        <f aca="false">M25*(1-M22)*M37/12</f>
        <v>1.82549861101553</v>
      </c>
      <c r="N38" s="12" t="n">
        <f aca="false">N25*(1-N22)*N37/12</f>
        <v>2.23786962056972</v>
      </c>
      <c r="O38" s="12" t="n">
        <f aca="false">O25*(1-O22)*O37/12</f>
        <v>2.60664033549653</v>
      </c>
      <c r="P38" s="12" t="n">
        <f aca="false">P25*(1-P22)*P37/12</f>
        <v>2.93873642533518</v>
      </c>
      <c r="Q38" s="12" t="n">
        <f aca="false">Q25*(1-Q22)*Q37/12</f>
        <v>3.26867174206605</v>
      </c>
      <c r="R38" s="12" t="n">
        <f aca="false">R25*(1-R22)*R37/12</f>
        <v>3.53976913516198</v>
      </c>
      <c r="S38" s="12" t="n">
        <f aca="false">S25*(1-S22)*S37/12</f>
        <v>3.75866471454631</v>
      </c>
      <c r="T38" s="12" t="n">
        <f aca="false">T25*(1-T22)*T37/12</f>
        <v>3.98017804458457</v>
      </c>
      <c r="U38" s="12" t="n">
        <f aca="false">U25*(1-U22)*U37/12</f>
        <v>4.10321064120126</v>
      </c>
    </row>
    <row r="39" customFormat="false" ht="15" hidden="false" customHeight="false" outlineLevel="0" collapsed="false">
      <c r="A39" s="2" t="s">
        <v>35</v>
      </c>
      <c r="B39" s="2" t="s">
        <v>28</v>
      </c>
      <c r="C39" s="12" t="n">
        <f aca="false">SUM(D39:U39)</f>
        <v>15000</v>
      </c>
      <c r="D39" s="12" t="n">
        <f aca="false">D10*Assumptions!$C$16/Assumptions!$C$7</f>
        <v>312.5</v>
      </c>
      <c r="E39" s="12" t="n">
        <f aca="false">E10*Assumptions!$C$16/Assumptions!$C$7</f>
        <v>468.75</v>
      </c>
      <c r="F39" s="12" t="n">
        <f aca="false">F10*Assumptions!$C$16/Assumptions!$C$7</f>
        <v>625</v>
      </c>
      <c r="G39" s="12" t="n">
        <f aca="false">G10*Assumptions!$C$16/Assumptions!$C$7</f>
        <v>781.25</v>
      </c>
      <c r="H39" s="12" t="n">
        <f aca="false">H10*Assumptions!$C$16/Assumptions!$C$7</f>
        <v>937.5</v>
      </c>
      <c r="I39" s="12" t="n">
        <f aca="false">I10*Assumptions!$C$16/Assumptions!$C$7</f>
        <v>1093.75</v>
      </c>
      <c r="J39" s="12" t="n">
        <f aca="false">J10*Assumptions!$C$16/Assumptions!$C$7</f>
        <v>1093.75</v>
      </c>
      <c r="K39" s="12" t="n">
        <f aca="false">K10*Assumptions!$C$16/Assumptions!$C$7</f>
        <v>1093.75</v>
      </c>
      <c r="L39" s="12" t="n">
        <f aca="false">L10*Assumptions!$C$16/Assumptions!$C$7</f>
        <v>1093.75</v>
      </c>
      <c r="M39" s="12" t="n">
        <f aca="false">M10*Assumptions!$C$16/Assumptions!$C$7</f>
        <v>1093.75</v>
      </c>
      <c r="N39" s="12" t="n">
        <f aca="false">N10*Assumptions!$C$16/Assumptions!$C$7</f>
        <v>937.5</v>
      </c>
      <c r="O39" s="12" t="n">
        <f aca="false">O10*Assumptions!$C$16/Assumptions!$C$7</f>
        <v>937.5</v>
      </c>
      <c r="P39" s="12" t="n">
        <f aca="false">P10*Assumptions!$C$16/Assumptions!$C$7</f>
        <v>937.5</v>
      </c>
      <c r="Q39" s="12" t="n">
        <f aca="false">Q10*Assumptions!$C$16/Assumptions!$C$7</f>
        <v>781.25</v>
      </c>
      <c r="R39" s="12" t="n">
        <f aca="false">R10*Assumptions!$C$16/Assumptions!$C$7</f>
        <v>781.25</v>
      </c>
      <c r="S39" s="12" t="n">
        <f aca="false">S10*Assumptions!$C$16/Assumptions!$C$7</f>
        <v>781.25</v>
      </c>
      <c r="T39" s="12" t="n">
        <f aca="false">T10*Assumptions!$C$16/Assumptions!$C$7</f>
        <v>625</v>
      </c>
      <c r="U39" s="12" t="n">
        <f aca="false">U10*Assumptions!$C$16/Assumptions!$C$7</f>
        <v>625</v>
      </c>
    </row>
    <row r="40" customFormat="false" ht="15" hidden="false" customHeight="false" outlineLevel="0" collapsed="false">
      <c r="A40" s="2" t="s">
        <v>257</v>
      </c>
      <c r="B40" s="2" t="s">
        <v>28</v>
      </c>
      <c r="C40" s="12" t="n">
        <f aca="false">SUM(D40:U40)</f>
        <v>1500</v>
      </c>
      <c r="D40" s="12" t="n">
        <f aca="false">IF(D4&lt;=Assumptions!$C$40,Assumptions!$C$39/Assumptions!$C$40/Assumptions!$C$7,0)</f>
        <v>500</v>
      </c>
      <c r="E40" s="12" t="n">
        <f aca="false">IF(E4&lt;=Assumptions!$C$40,Assumptions!$C$39/Assumptions!$C$40/Assumptions!$C$7,0)</f>
        <v>500</v>
      </c>
      <c r="F40" s="12" t="n">
        <f aca="false">IF(F4&lt;=Assumptions!$C$40,Assumptions!$C$39/Assumptions!$C$40/Assumptions!$C$7,0)</f>
        <v>500</v>
      </c>
      <c r="G40" s="12" t="n">
        <f aca="false">IF(G4&lt;=Assumptions!$C$40,Assumptions!$C$39/Assumptions!$C$40/Assumptions!$C$7,0)</f>
        <v>0</v>
      </c>
      <c r="H40" s="12" t="n">
        <f aca="false">IF(H4&lt;=Assumptions!$C$40,Assumptions!$C$39/Assumptions!$C$40/Assumptions!$C$7,0)</f>
        <v>0</v>
      </c>
      <c r="I40" s="12" t="n">
        <f aca="false">IF(I4&lt;=Assumptions!$C$40,Assumptions!$C$39/Assumptions!$C$40/Assumptions!$C$7,0)</f>
        <v>0</v>
      </c>
      <c r="J40" s="12" t="n">
        <f aca="false">IF(J4&lt;=Assumptions!$C$40,Assumptions!$C$39/Assumptions!$C$40/Assumptions!$C$7,0)</f>
        <v>0</v>
      </c>
      <c r="K40" s="12" t="n">
        <f aca="false">IF(K4&lt;=Assumptions!$C$40,Assumptions!$C$39/Assumptions!$C$40/Assumptions!$C$7,0)</f>
        <v>0</v>
      </c>
      <c r="L40" s="12" t="n">
        <f aca="false">IF(L4&lt;=Assumptions!$C$40,Assumptions!$C$39/Assumptions!$C$40/Assumptions!$C$7,0)</f>
        <v>0</v>
      </c>
      <c r="M40" s="12" t="n">
        <f aca="false">IF(M4&lt;=Assumptions!$C$40,Assumptions!$C$39/Assumptions!$C$40/Assumptions!$C$7,0)</f>
        <v>0</v>
      </c>
      <c r="N40" s="12" t="n">
        <f aca="false">IF(N4&lt;=Assumptions!$C$40,Assumptions!$C$39/Assumptions!$C$40/Assumptions!$C$7,0)</f>
        <v>0</v>
      </c>
      <c r="O40" s="12" t="n">
        <f aca="false">IF(O4&lt;=Assumptions!$C$40,Assumptions!$C$39/Assumptions!$C$40/Assumptions!$C$7,0)</f>
        <v>0</v>
      </c>
      <c r="P40" s="12" t="n">
        <f aca="false">IF(P4&lt;=Assumptions!$C$40,Assumptions!$C$39/Assumptions!$C$40/Assumptions!$C$7,0)</f>
        <v>0</v>
      </c>
      <c r="Q40" s="12" t="n">
        <f aca="false">IF(Q4&lt;=Assumptions!$C$40,Assumptions!$C$39/Assumptions!$C$40/Assumptions!$C$7,0)</f>
        <v>0</v>
      </c>
      <c r="R40" s="12" t="n">
        <f aca="false">IF(R4&lt;=Assumptions!$C$40,Assumptions!$C$39/Assumptions!$C$40/Assumptions!$C$7,0)</f>
        <v>0</v>
      </c>
      <c r="S40" s="12" t="n">
        <f aca="false">IF(S4&lt;=Assumptions!$C$40,Assumptions!$C$39/Assumptions!$C$40/Assumptions!$C$7,0)</f>
        <v>0</v>
      </c>
      <c r="T40" s="12" t="n">
        <f aca="false">IF(T4&lt;=Assumptions!$C$40,Assumptions!$C$39/Assumptions!$C$40/Assumptions!$C$7,0)</f>
        <v>0</v>
      </c>
      <c r="U40" s="12" t="n">
        <f aca="false">IF(U4&lt;=Assumptions!$C$40,Assumptions!$C$39/Assumptions!$C$40/Assumptions!$C$7,0)</f>
        <v>0</v>
      </c>
    </row>
    <row r="41" customFormat="false" ht="15" hidden="false" customHeight="false" outlineLevel="0" collapsed="false">
      <c r="A41" s="2" t="s">
        <v>258</v>
      </c>
      <c r="B41" s="2" t="s">
        <v>28</v>
      </c>
      <c r="C41" s="12" t="n">
        <f aca="false">SUM(D41:U41)</f>
        <v>2160</v>
      </c>
      <c r="D41" s="12" t="n">
        <f aca="false">Assumptions!$C$41/Assumptions!$C$7</f>
        <v>120</v>
      </c>
      <c r="E41" s="12" t="n">
        <f aca="false">Assumptions!$C$41/Assumptions!$C$7</f>
        <v>120</v>
      </c>
      <c r="F41" s="12" t="n">
        <f aca="false">Assumptions!$C$41/Assumptions!$C$7</f>
        <v>120</v>
      </c>
      <c r="G41" s="12" t="n">
        <f aca="false">Assumptions!$C$41/Assumptions!$C$7</f>
        <v>120</v>
      </c>
      <c r="H41" s="12" t="n">
        <f aca="false">Assumptions!$C$41/Assumptions!$C$7</f>
        <v>120</v>
      </c>
      <c r="I41" s="12" t="n">
        <f aca="false">Assumptions!$C$41/Assumptions!$C$7</f>
        <v>120</v>
      </c>
      <c r="J41" s="12" t="n">
        <f aca="false">Assumptions!$C$41/Assumptions!$C$7</f>
        <v>120</v>
      </c>
      <c r="K41" s="12" t="n">
        <f aca="false">Assumptions!$C$41/Assumptions!$C$7</f>
        <v>120</v>
      </c>
      <c r="L41" s="12" t="n">
        <f aca="false">Assumptions!$C$41/Assumptions!$C$7</f>
        <v>120</v>
      </c>
      <c r="M41" s="12" t="n">
        <f aca="false">Assumptions!$C$41/Assumptions!$C$7</f>
        <v>120</v>
      </c>
      <c r="N41" s="12" t="n">
        <f aca="false">Assumptions!$C$41/Assumptions!$C$7</f>
        <v>120</v>
      </c>
      <c r="O41" s="12" t="n">
        <f aca="false">Assumptions!$C$41/Assumptions!$C$7</f>
        <v>120</v>
      </c>
      <c r="P41" s="12" t="n">
        <f aca="false">Assumptions!$C$41/Assumptions!$C$7</f>
        <v>120</v>
      </c>
      <c r="Q41" s="12" t="n">
        <f aca="false">Assumptions!$C$41/Assumptions!$C$7</f>
        <v>120</v>
      </c>
      <c r="R41" s="12" t="n">
        <f aca="false">Assumptions!$C$41/Assumptions!$C$7</f>
        <v>120</v>
      </c>
      <c r="S41" s="12" t="n">
        <f aca="false">Assumptions!$C$41/Assumptions!$C$7</f>
        <v>120</v>
      </c>
      <c r="T41" s="12" t="n">
        <f aca="false">Assumptions!$C$41/Assumptions!$C$7</f>
        <v>120</v>
      </c>
      <c r="U41" s="12" t="n">
        <f aca="false">Assumptions!$C$41/Assumptions!$C$7</f>
        <v>120</v>
      </c>
    </row>
    <row r="42" customFormat="false" ht="15" hidden="false" customHeight="false" outlineLevel="0" collapsed="false">
      <c r="A42" s="9" t="s">
        <v>259</v>
      </c>
      <c r="B42" s="2" t="s">
        <v>28</v>
      </c>
      <c r="C42" s="10" t="n">
        <f aca="false">SUM(D42:U42)</f>
        <v>-18636.1292390969</v>
      </c>
      <c r="D42" s="10" t="n">
        <f aca="false">D36-D38-D39-D40-D41</f>
        <v>-932.470703125</v>
      </c>
      <c r="E42" s="10" t="n">
        <f aca="false">E36-E38-E39-E40-E41</f>
        <v>-1088.6267421875</v>
      </c>
      <c r="F42" s="10" t="n">
        <f aca="false">F36-F38-F39-F40-F41</f>
        <v>-1244.70806378175</v>
      </c>
      <c r="G42" s="10" t="n">
        <f aca="false">G36-G38-G39-G40-G41</f>
        <v>-900.799026203187</v>
      </c>
      <c r="H42" s="10" t="n">
        <f aca="false">H36-H38-H39-H40-H41</f>
        <v>-1056.85871570832</v>
      </c>
      <c r="I42" s="10" t="n">
        <f aca="false">I36-I38-I39-I40-I41</f>
        <v>-1212.89838448477</v>
      </c>
      <c r="J42" s="10" t="n">
        <f aca="false">J36-J38-J39-J40-J41</f>
        <v>-1212.79007693956</v>
      </c>
      <c r="K42" s="10" t="n">
        <f aca="false">K36-K38-K39-K40-K41</f>
        <v>-1212.58178207311</v>
      </c>
      <c r="L42" s="10" t="n">
        <f aca="false">L36-L38-L39-L40-L41</f>
        <v>-1212.36319610471</v>
      </c>
      <c r="M42" s="10" t="n">
        <f aca="false">M36-M38-M39-M40-M41</f>
        <v>-1212.13256395619</v>
      </c>
      <c r="N42" s="10" t="n">
        <f aca="false">N36-N38-N39-N40-N41</f>
        <v>-1055.75276745122</v>
      </c>
      <c r="O42" s="10" t="n">
        <f aca="false">O36-O38-O39-O40-O41</f>
        <v>-1055.62484291515</v>
      </c>
      <c r="P42" s="10" t="n">
        <f aca="false">P36-P38-P39-P40-P41</f>
        <v>-1055.50358207007</v>
      </c>
      <c r="Q42" s="10" t="n">
        <f aca="false">Q36-Q38-Q39-Q40-Q41</f>
        <v>-899.186193972612</v>
      </c>
      <c r="R42" s="10" t="n">
        <f aca="false">R36-R38-R39-R40-R41</f>
        <v>-899.124137551547</v>
      </c>
      <c r="S42" s="10" t="n">
        <f aca="false">S36-S38-S39-S40-S41</f>
        <v>-899.063551199052</v>
      </c>
      <c r="T42" s="10" t="n">
        <f aca="false">T36-T38-T39-T40-T41</f>
        <v>-742.81562772937</v>
      </c>
      <c r="U42" s="10" t="n">
        <f aca="false">U36-U38-U39-U40-U41</f>
        <v>-742.829281643829</v>
      </c>
    </row>
    <row r="43" customFormat="false" ht="15" hidden="false" customHeight="false" outlineLevel="0" collapsed="false">
      <c r="A43" s="9" t="s">
        <v>260</v>
      </c>
      <c r="B43" s="2" t="s">
        <v>28</v>
      </c>
      <c r="D43" s="10" t="n">
        <f aca="false">D42</f>
        <v>-932.470703125</v>
      </c>
      <c r="E43" s="10" t="n">
        <f aca="false">D43+E42</f>
        <v>-2021.0974453125</v>
      </c>
      <c r="F43" s="10" t="n">
        <f aca="false">E43+F42</f>
        <v>-3265.80550909425</v>
      </c>
      <c r="G43" s="10" t="n">
        <f aca="false">F43+G42</f>
        <v>-4166.60453529744</v>
      </c>
      <c r="H43" s="10" t="n">
        <f aca="false">G43+H42</f>
        <v>-5223.46325100576</v>
      </c>
      <c r="I43" s="10" t="n">
        <f aca="false">H43+I42</f>
        <v>-6436.36163549053</v>
      </c>
      <c r="J43" s="10" t="n">
        <f aca="false">I43+J42</f>
        <v>-7649.15171243009</v>
      </c>
      <c r="K43" s="10" t="n">
        <f aca="false">J43+K42</f>
        <v>-8861.7334945032</v>
      </c>
      <c r="L43" s="10" t="n">
        <f aca="false">K43+L42</f>
        <v>-10074.0966906079</v>
      </c>
      <c r="M43" s="10" t="n">
        <f aca="false">L43+M42</f>
        <v>-11286.2292545641</v>
      </c>
      <c r="N43" s="10" t="n">
        <f aca="false">M43+N42</f>
        <v>-12341.9820220153</v>
      </c>
      <c r="O43" s="10" t="n">
        <f aca="false">N43+O42</f>
        <v>-13397.6068649305</v>
      </c>
      <c r="P43" s="10" t="n">
        <f aca="false">O43+P42</f>
        <v>-14453.1104470005</v>
      </c>
      <c r="Q43" s="10" t="n">
        <f aca="false">P43+Q42</f>
        <v>-15352.2966409731</v>
      </c>
      <c r="R43" s="10" t="n">
        <f aca="false">Q43+R42</f>
        <v>-16251.4207785247</v>
      </c>
      <c r="S43" s="10" t="n">
        <f aca="false">R43+S42</f>
        <v>-17150.4843297237</v>
      </c>
      <c r="T43" s="10" t="n">
        <f aca="false">S43+T42</f>
        <v>-17893.2999574531</v>
      </c>
      <c r="U43" s="10" t="n">
        <f aca="false">T43+U42</f>
        <v>-18636.1292390969</v>
      </c>
    </row>
    <row r="44" customFormat="false" ht="15" hidden="false" customHeight="false" outlineLevel="0" collapsed="false">
      <c r="A44" s="2" t="s">
        <v>261</v>
      </c>
      <c r="B44" s="2" t="s">
        <v>237</v>
      </c>
      <c r="D44" s="15" t="n">
        <f aca="false">IF(D43&gt;=0,1,0)</f>
        <v>0</v>
      </c>
      <c r="E44" s="15" t="n">
        <f aca="false">IF(E43&gt;=0,1,0)</f>
        <v>0</v>
      </c>
      <c r="F44" s="15" t="n">
        <f aca="false">IF(F43&gt;=0,1,0)</f>
        <v>0</v>
      </c>
      <c r="G44" s="15" t="n">
        <f aca="false">IF(G43&gt;=0,1,0)</f>
        <v>0</v>
      </c>
      <c r="H44" s="15" t="n">
        <f aca="false">IF(H43&gt;=0,1,0)</f>
        <v>0</v>
      </c>
      <c r="I44" s="15" t="n">
        <f aca="false">IF(I43&gt;=0,1,0)</f>
        <v>0</v>
      </c>
      <c r="J44" s="15" t="n">
        <f aca="false">IF(J43&gt;=0,1,0)</f>
        <v>0</v>
      </c>
      <c r="K44" s="15" t="n">
        <f aca="false">IF(K43&gt;=0,1,0)</f>
        <v>0</v>
      </c>
      <c r="L44" s="15" t="n">
        <f aca="false">IF(L43&gt;=0,1,0)</f>
        <v>0</v>
      </c>
      <c r="M44" s="15" t="n">
        <f aca="false">IF(M43&gt;=0,1,0)</f>
        <v>0</v>
      </c>
      <c r="N44" s="15" t="n">
        <f aca="false">IF(N43&gt;=0,1,0)</f>
        <v>0</v>
      </c>
      <c r="O44" s="15" t="n">
        <f aca="false">IF(O43&gt;=0,1,0)</f>
        <v>0</v>
      </c>
      <c r="P44" s="15" t="n">
        <f aca="false">IF(P43&gt;=0,1,0)</f>
        <v>0</v>
      </c>
      <c r="Q44" s="15" t="n">
        <f aca="false">IF(Q43&gt;=0,1,0)</f>
        <v>0</v>
      </c>
      <c r="R44" s="15" t="n">
        <f aca="false">IF(R43&gt;=0,1,0)</f>
        <v>0</v>
      </c>
      <c r="S44" s="15" t="n">
        <f aca="false">IF(S43&gt;=0,1,0)</f>
        <v>0</v>
      </c>
      <c r="T44" s="15" t="n">
        <f aca="false">IF(T43&gt;=0,1,0)</f>
        <v>0</v>
      </c>
      <c r="U44" s="15" t="n">
        <f aca="false">IF(U43&gt;=0,1,0)</f>
        <v>0</v>
      </c>
    </row>
    <row r="45" customFormat="false" ht="15" hidden="false" customHeight="false" outlineLevel="0" collapsed="false">
      <c r="A45" s="2" t="s">
        <v>262</v>
      </c>
      <c r="B45" s="2" t="s">
        <v>237</v>
      </c>
      <c r="D45" s="15" t="n">
        <f aca="false">IF(D42&gt;=0,1,0)</f>
        <v>0</v>
      </c>
      <c r="E45" s="15" t="n">
        <f aca="false">IF(E42&gt;=0,1,0)</f>
        <v>0</v>
      </c>
      <c r="F45" s="15" t="n">
        <f aca="false">IF(F42&gt;=0,1,0)</f>
        <v>0</v>
      </c>
      <c r="G45" s="15" t="n">
        <f aca="false">IF(G42&gt;=0,1,0)</f>
        <v>0</v>
      </c>
      <c r="H45" s="15" t="n">
        <f aca="false">IF(H42&gt;=0,1,0)</f>
        <v>0</v>
      </c>
      <c r="I45" s="15" t="n">
        <f aca="false">IF(I42&gt;=0,1,0)</f>
        <v>0</v>
      </c>
      <c r="J45" s="15" t="n">
        <f aca="false">IF(J42&gt;=0,1,0)</f>
        <v>0</v>
      </c>
      <c r="K45" s="15" t="n">
        <f aca="false">IF(K42&gt;=0,1,0)</f>
        <v>0</v>
      </c>
      <c r="L45" s="15" t="n">
        <f aca="false">IF(L42&gt;=0,1,0)</f>
        <v>0</v>
      </c>
      <c r="M45" s="15" t="n">
        <f aca="false">IF(M42&gt;=0,1,0)</f>
        <v>0</v>
      </c>
      <c r="N45" s="15" t="n">
        <f aca="false">IF(N42&gt;=0,1,0)</f>
        <v>0</v>
      </c>
      <c r="O45" s="15" t="n">
        <f aca="false">IF(O42&gt;=0,1,0)</f>
        <v>0</v>
      </c>
      <c r="P45" s="15" t="n">
        <f aca="false">IF(P42&gt;=0,1,0)</f>
        <v>0</v>
      </c>
      <c r="Q45" s="15" t="n">
        <f aca="false">IF(Q42&gt;=0,1,0)</f>
        <v>0</v>
      </c>
      <c r="R45" s="15" t="n">
        <f aca="false">IF(R42&gt;=0,1,0)</f>
        <v>0</v>
      </c>
      <c r="S45" s="15" t="n">
        <f aca="false">IF(S42&gt;=0,1,0)</f>
        <v>0</v>
      </c>
      <c r="T45" s="15" t="n">
        <f aca="false">IF(T42&gt;=0,1,0)</f>
        <v>0</v>
      </c>
      <c r="U45" s="15" t="n">
        <f aca="false">IF(U42&gt;=0,1,0)</f>
        <v>0</v>
      </c>
    </row>
    <row r="47" customFormat="false" ht="15" hidden="false" customHeight="false" outlineLevel="0" collapsed="false">
      <c r="A47" s="6" t="s">
        <v>263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customFormat="false" ht="15" hidden="false" customHeight="false" outlineLevel="0" collapsed="false">
      <c r="A48" s="5" t="s">
        <v>264</v>
      </c>
      <c r="B48" s="5" t="s">
        <v>265</v>
      </c>
      <c r="C48" s="5"/>
      <c r="D48" s="5" t="s">
        <v>195</v>
      </c>
      <c r="E48" s="5" t="s">
        <v>196</v>
      </c>
      <c r="F48" s="5" t="s">
        <v>197</v>
      </c>
      <c r="G48" s="5" t="s">
        <v>198</v>
      </c>
      <c r="H48" s="5" t="s">
        <v>199</v>
      </c>
      <c r="I48" s="5" t="s">
        <v>200</v>
      </c>
      <c r="J48" s="5" t="s">
        <v>201</v>
      </c>
      <c r="K48" s="5" t="s">
        <v>202</v>
      </c>
      <c r="L48" s="5" t="s">
        <v>203</v>
      </c>
      <c r="M48" s="5" t="s">
        <v>204</v>
      </c>
      <c r="N48" s="5" t="s">
        <v>205</v>
      </c>
      <c r="O48" s="5" t="s">
        <v>206</v>
      </c>
      <c r="P48" s="5" t="s">
        <v>207</v>
      </c>
      <c r="Q48" s="5" t="s">
        <v>208</v>
      </c>
      <c r="R48" s="5" t="s">
        <v>209</v>
      </c>
      <c r="S48" s="5" t="s">
        <v>210</v>
      </c>
      <c r="T48" s="5" t="s">
        <v>211</v>
      </c>
      <c r="U48" s="5" t="s">
        <v>212</v>
      </c>
    </row>
    <row r="49" customFormat="false" ht="15" hidden="false" customHeight="false" outlineLevel="0" collapsed="false">
      <c r="A49" s="2" t="s">
        <v>266</v>
      </c>
      <c r="B49" s="15" t="n">
        <v>1</v>
      </c>
      <c r="D49" s="27" t="n">
        <f aca="false">IF(D$4&lt;$B49,0,INDEX($D$10:$U$10,$B49)*(1-Assumptions!$C$18)^(D$4-$B49))</f>
        <v>1562.5</v>
      </c>
      <c r="E49" s="27" t="n">
        <f aca="false">IF(E$4&lt;$B49,0,INDEX($D$10:$U$10,$B49)*(1-Assumptions!$C$18)^(E$4-$B49))</f>
        <v>1375</v>
      </c>
      <c r="F49" s="27" t="n">
        <f aca="false">IF(F$4&lt;$B49,0,INDEX($D$10:$U$10,$B49)*(1-Assumptions!$C$18)^(F$4-$B49))</f>
        <v>1210</v>
      </c>
      <c r="G49" s="27" t="n">
        <f aca="false">IF(G$4&lt;$B49,0,INDEX($D$10:$U$10,$B49)*(1-Assumptions!$C$18)^(G$4-$B49))</f>
        <v>1064.8</v>
      </c>
      <c r="H49" s="27" t="n">
        <f aca="false">IF(H$4&lt;$B49,0,INDEX($D$10:$U$10,$B49)*(1-Assumptions!$C$18)^(H$4-$B49))</f>
        <v>937.024</v>
      </c>
      <c r="I49" s="27" t="n">
        <f aca="false">IF(I$4&lt;$B49,0,INDEX($D$10:$U$10,$B49)*(1-Assumptions!$C$18)^(I$4-$B49))</f>
        <v>824.58112</v>
      </c>
      <c r="J49" s="27" t="n">
        <f aca="false">IF(J$4&lt;$B49,0,INDEX($D$10:$U$10,$B49)*(1-Assumptions!$C$18)^(J$4-$B49))</f>
        <v>725.6313856</v>
      </c>
      <c r="K49" s="27" t="n">
        <f aca="false">IF(K$4&lt;$B49,0,INDEX($D$10:$U$10,$B49)*(1-Assumptions!$C$18)^(K$4-$B49))</f>
        <v>638.555619328</v>
      </c>
      <c r="L49" s="27" t="n">
        <f aca="false">IF(L$4&lt;$B49,0,INDEX($D$10:$U$10,$B49)*(1-Assumptions!$C$18)^(L$4-$B49))</f>
        <v>561.92894500864</v>
      </c>
      <c r="M49" s="27" t="n">
        <f aca="false">IF(M$4&lt;$B49,0,INDEX($D$10:$U$10,$B49)*(1-Assumptions!$C$18)^(M$4-$B49))</f>
        <v>494.497471607603</v>
      </c>
      <c r="N49" s="27" t="n">
        <f aca="false">IF(N$4&lt;$B49,0,INDEX($D$10:$U$10,$B49)*(1-Assumptions!$C$18)^(N$4-$B49))</f>
        <v>435.157775014691</v>
      </c>
      <c r="O49" s="27" t="n">
        <f aca="false">IF(O$4&lt;$B49,0,INDEX($D$10:$U$10,$B49)*(1-Assumptions!$C$18)^(O$4-$B49))</f>
        <v>382.938842012928</v>
      </c>
      <c r="P49" s="27" t="n">
        <f aca="false">IF(P$4&lt;$B49,0,INDEX($D$10:$U$10,$B49)*(1-Assumptions!$C$18)^(P$4-$B49))</f>
        <v>336.986180971377</v>
      </c>
      <c r="Q49" s="27" t="n">
        <f aca="false">IF(Q$4&lt;$B49,0,INDEX($D$10:$U$10,$B49)*(1-Assumptions!$C$18)^(Q$4-$B49))</f>
        <v>296.547839254811</v>
      </c>
      <c r="R49" s="27" t="n">
        <f aca="false">IF(R$4&lt;$B49,0,INDEX($D$10:$U$10,$B49)*(1-Assumptions!$C$18)^(R$4-$B49))</f>
        <v>260.962098544234</v>
      </c>
      <c r="S49" s="27" t="n">
        <f aca="false">IF(S$4&lt;$B49,0,INDEX($D$10:$U$10,$B49)*(1-Assumptions!$C$18)^(S$4-$B49))</f>
        <v>229.646646718926</v>
      </c>
      <c r="T49" s="27" t="n">
        <f aca="false">IF(T$4&lt;$B49,0,INDEX($D$10:$U$10,$B49)*(1-Assumptions!$C$18)^(T$4-$B49))</f>
        <v>202.089049112655</v>
      </c>
      <c r="U49" s="27" t="n">
        <f aca="false">IF(U$4&lt;$B49,0,INDEX($D$10:$U$10,$B49)*(1-Assumptions!$C$18)^(U$4-$B49))</f>
        <v>177.838363219136</v>
      </c>
    </row>
    <row r="50" customFormat="false" ht="15" hidden="false" customHeight="false" outlineLevel="0" collapsed="false">
      <c r="A50" s="2" t="s">
        <v>267</v>
      </c>
      <c r="B50" s="15" t="n">
        <v>2</v>
      </c>
      <c r="D50" s="27" t="n">
        <f aca="false">IF(D$4&lt;$B50,0,INDEX($D$10:$U$10,$B50)*(1-Assumptions!$C$18)^(D$4-$B50))</f>
        <v>0</v>
      </c>
      <c r="E50" s="27" t="n">
        <f aca="false">IF(E$4&lt;$B50,0,INDEX($D$10:$U$10,$B50)*(1-Assumptions!$C$18)^(E$4-$B50))</f>
        <v>2343.75</v>
      </c>
      <c r="F50" s="27" t="n">
        <f aca="false">IF(F$4&lt;$B50,0,INDEX($D$10:$U$10,$B50)*(1-Assumptions!$C$18)^(F$4-$B50))</f>
        <v>2062.5</v>
      </c>
      <c r="G50" s="27" t="n">
        <f aca="false">IF(G$4&lt;$B50,0,INDEX($D$10:$U$10,$B50)*(1-Assumptions!$C$18)^(G$4-$B50))</f>
        <v>1815</v>
      </c>
      <c r="H50" s="27" t="n">
        <f aca="false">IF(H$4&lt;$B50,0,INDEX($D$10:$U$10,$B50)*(1-Assumptions!$C$18)^(H$4-$B50))</f>
        <v>1597.2</v>
      </c>
      <c r="I50" s="27" t="n">
        <f aca="false">IF(I$4&lt;$B50,0,INDEX($D$10:$U$10,$B50)*(1-Assumptions!$C$18)^(I$4-$B50))</f>
        <v>1405.536</v>
      </c>
      <c r="J50" s="27" t="n">
        <f aca="false">IF(J$4&lt;$B50,0,INDEX($D$10:$U$10,$B50)*(1-Assumptions!$C$18)^(J$4-$B50))</f>
        <v>1236.87168</v>
      </c>
      <c r="K50" s="27" t="n">
        <f aca="false">IF(K$4&lt;$B50,0,INDEX($D$10:$U$10,$B50)*(1-Assumptions!$C$18)^(K$4-$B50))</f>
        <v>1088.4470784</v>
      </c>
      <c r="L50" s="27" t="n">
        <f aca="false">IF(L$4&lt;$B50,0,INDEX($D$10:$U$10,$B50)*(1-Assumptions!$C$18)^(L$4-$B50))</f>
        <v>957.833428992</v>
      </c>
      <c r="M50" s="27" t="n">
        <f aca="false">IF(M$4&lt;$B50,0,INDEX($D$10:$U$10,$B50)*(1-Assumptions!$C$18)^(M$4-$B50))</f>
        <v>842.89341751296</v>
      </c>
      <c r="N50" s="27" t="n">
        <f aca="false">IF(N$4&lt;$B50,0,INDEX($D$10:$U$10,$B50)*(1-Assumptions!$C$18)^(N$4-$B50))</f>
        <v>741.746207411405</v>
      </c>
      <c r="O50" s="27" t="n">
        <f aca="false">IF(O$4&lt;$B50,0,INDEX($D$10:$U$10,$B50)*(1-Assumptions!$C$18)^(O$4-$B50))</f>
        <v>652.736662522036</v>
      </c>
      <c r="P50" s="27" t="n">
        <f aca="false">IF(P$4&lt;$B50,0,INDEX($D$10:$U$10,$B50)*(1-Assumptions!$C$18)^(P$4-$B50))</f>
        <v>574.408263019392</v>
      </c>
      <c r="Q50" s="27" t="n">
        <f aca="false">IF(Q$4&lt;$B50,0,INDEX($D$10:$U$10,$B50)*(1-Assumptions!$C$18)^(Q$4-$B50))</f>
        <v>505.479271457065</v>
      </c>
      <c r="R50" s="27" t="n">
        <f aca="false">IF(R$4&lt;$B50,0,INDEX($D$10:$U$10,$B50)*(1-Assumptions!$C$18)^(R$4-$B50))</f>
        <v>444.821758882217</v>
      </c>
      <c r="S50" s="27" t="n">
        <f aca="false">IF(S$4&lt;$B50,0,INDEX($D$10:$U$10,$B50)*(1-Assumptions!$C$18)^(S$4-$B50))</f>
        <v>391.443147816351</v>
      </c>
      <c r="T50" s="27" t="n">
        <f aca="false">IF(T$4&lt;$B50,0,INDEX($D$10:$U$10,$B50)*(1-Assumptions!$C$18)^(T$4-$B50))</f>
        <v>344.469970078389</v>
      </c>
      <c r="U50" s="27" t="n">
        <f aca="false">IF(U$4&lt;$B50,0,INDEX($D$10:$U$10,$B50)*(1-Assumptions!$C$18)^(U$4-$B50))</f>
        <v>303.133573668982</v>
      </c>
    </row>
    <row r="51" customFormat="false" ht="15" hidden="false" customHeight="false" outlineLevel="0" collapsed="false">
      <c r="A51" s="2" t="s">
        <v>268</v>
      </c>
      <c r="B51" s="15" t="n">
        <v>3</v>
      </c>
      <c r="D51" s="27" t="n">
        <f aca="false">IF(D$4&lt;$B51,0,INDEX($D$10:$U$10,$B51)*(1-Assumptions!$C$18)^(D$4-$B51))</f>
        <v>0</v>
      </c>
      <c r="E51" s="27" t="n">
        <f aca="false">IF(E$4&lt;$B51,0,INDEX($D$10:$U$10,$B51)*(1-Assumptions!$C$18)^(E$4-$B51))</f>
        <v>0</v>
      </c>
      <c r="F51" s="27" t="n">
        <f aca="false">IF(F$4&lt;$B51,0,INDEX($D$10:$U$10,$B51)*(1-Assumptions!$C$18)^(F$4-$B51))</f>
        <v>3125</v>
      </c>
      <c r="G51" s="27" t="n">
        <f aca="false">IF(G$4&lt;$B51,0,INDEX($D$10:$U$10,$B51)*(1-Assumptions!$C$18)^(G$4-$B51))</f>
        <v>2750</v>
      </c>
      <c r="H51" s="27" t="n">
        <f aca="false">IF(H$4&lt;$B51,0,INDEX($D$10:$U$10,$B51)*(1-Assumptions!$C$18)^(H$4-$B51))</f>
        <v>2420</v>
      </c>
      <c r="I51" s="27" t="n">
        <f aca="false">IF(I$4&lt;$B51,0,INDEX($D$10:$U$10,$B51)*(1-Assumptions!$C$18)^(I$4-$B51))</f>
        <v>2129.6</v>
      </c>
      <c r="J51" s="27" t="n">
        <f aca="false">IF(J$4&lt;$B51,0,INDEX($D$10:$U$10,$B51)*(1-Assumptions!$C$18)^(J$4-$B51))</f>
        <v>1874.048</v>
      </c>
      <c r="K51" s="27" t="n">
        <f aca="false">IF(K$4&lt;$B51,0,INDEX($D$10:$U$10,$B51)*(1-Assumptions!$C$18)^(K$4-$B51))</f>
        <v>1649.16224</v>
      </c>
      <c r="L51" s="27" t="n">
        <f aca="false">IF(L$4&lt;$B51,0,INDEX($D$10:$U$10,$B51)*(1-Assumptions!$C$18)^(L$4-$B51))</f>
        <v>1451.2627712</v>
      </c>
      <c r="M51" s="27" t="n">
        <f aca="false">IF(M$4&lt;$B51,0,INDEX($D$10:$U$10,$B51)*(1-Assumptions!$C$18)^(M$4-$B51))</f>
        <v>1277.111238656</v>
      </c>
      <c r="N51" s="27" t="n">
        <f aca="false">IF(N$4&lt;$B51,0,INDEX($D$10:$U$10,$B51)*(1-Assumptions!$C$18)^(N$4-$B51))</f>
        <v>1123.85789001728</v>
      </c>
      <c r="O51" s="27" t="n">
        <f aca="false">IF(O$4&lt;$B51,0,INDEX($D$10:$U$10,$B51)*(1-Assumptions!$C$18)^(O$4-$B51))</f>
        <v>988.994943215207</v>
      </c>
      <c r="P51" s="27" t="n">
        <f aca="false">IF(P$4&lt;$B51,0,INDEX($D$10:$U$10,$B51)*(1-Assumptions!$C$18)^(P$4-$B51))</f>
        <v>870.315550029382</v>
      </c>
      <c r="Q51" s="27" t="n">
        <f aca="false">IF(Q$4&lt;$B51,0,INDEX($D$10:$U$10,$B51)*(1-Assumptions!$C$18)^(Q$4-$B51))</f>
        <v>765.877684025856</v>
      </c>
      <c r="R51" s="27" t="n">
        <f aca="false">IF(R$4&lt;$B51,0,INDEX($D$10:$U$10,$B51)*(1-Assumptions!$C$18)^(R$4-$B51))</f>
        <v>673.972361942753</v>
      </c>
      <c r="S51" s="27" t="n">
        <f aca="false">IF(S$4&lt;$B51,0,INDEX($D$10:$U$10,$B51)*(1-Assumptions!$C$18)^(S$4-$B51))</f>
        <v>593.095678509623</v>
      </c>
      <c r="T51" s="27" t="n">
        <f aca="false">IF(T$4&lt;$B51,0,INDEX($D$10:$U$10,$B51)*(1-Assumptions!$C$18)^(T$4-$B51))</f>
        <v>521.924197088468</v>
      </c>
      <c r="U51" s="27" t="n">
        <f aca="false">IF(U$4&lt;$B51,0,INDEX($D$10:$U$10,$B51)*(1-Assumptions!$C$18)^(U$4-$B51))</f>
        <v>459.293293437852</v>
      </c>
    </row>
    <row r="52" customFormat="false" ht="15" hidden="false" customHeight="false" outlineLevel="0" collapsed="false">
      <c r="A52" s="2" t="s">
        <v>269</v>
      </c>
      <c r="B52" s="15" t="n">
        <v>4</v>
      </c>
      <c r="D52" s="27" t="n">
        <f aca="false">IF(D$4&lt;$B52,0,INDEX($D$10:$U$10,$B52)*(1-Assumptions!$C$18)^(D$4-$B52))</f>
        <v>0</v>
      </c>
      <c r="E52" s="27" t="n">
        <f aca="false">IF(E$4&lt;$B52,0,INDEX($D$10:$U$10,$B52)*(1-Assumptions!$C$18)^(E$4-$B52))</f>
        <v>0</v>
      </c>
      <c r="F52" s="27" t="n">
        <f aca="false">IF(F$4&lt;$B52,0,INDEX($D$10:$U$10,$B52)*(1-Assumptions!$C$18)^(F$4-$B52))</f>
        <v>0</v>
      </c>
      <c r="G52" s="27" t="n">
        <f aca="false">IF(G$4&lt;$B52,0,INDEX($D$10:$U$10,$B52)*(1-Assumptions!$C$18)^(G$4-$B52))</f>
        <v>3906.25</v>
      </c>
      <c r="H52" s="27" t="n">
        <f aca="false">IF(H$4&lt;$B52,0,INDEX($D$10:$U$10,$B52)*(1-Assumptions!$C$18)^(H$4-$B52))</f>
        <v>3437.5</v>
      </c>
      <c r="I52" s="27" t="n">
        <f aca="false">IF(I$4&lt;$B52,0,INDEX($D$10:$U$10,$B52)*(1-Assumptions!$C$18)^(I$4-$B52))</f>
        <v>3025</v>
      </c>
      <c r="J52" s="27" t="n">
        <f aca="false">IF(J$4&lt;$B52,0,INDEX($D$10:$U$10,$B52)*(1-Assumptions!$C$18)^(J$4-$B52))</f>
        <v>2662</v>
      </c>
      <c r="K52" s="27" t="n">
        <f aca="false">IF(K$4&lt;$B52,0,INDEX($D$10:$U$10,$B52)*(1-Assumptions!$C$18)^(K$4-$B52))</f>
        <v>2342.56</v>
      </c>
      <c r="L52" s="27" t="n">
        <f aca="false">IF(L$4&lt;$B52,0,INDEX($D$10:$U$10,$B52)*(1-Assumptions!$C$18)^(L$4-$B52))</f>
        <v>2061.4528</v>
      </c>
      <c r="M52" s="27" t="n">
        <f aca="false">IF(M$4&lt;$B52,0,INDEX($D$10:$U$10,$B52)*(1-Assumptions!$C$18)^(M$4-$B52))</f>
        <v>1814.078464</v>
      </c>
      <c r="N52" s="27" t="n">
        <f aca="false">IF(N$4&lt;$B52,0,INDEX($D$10:$U$10,$B52)*(1-Assumptions!$C$18)^(N$4-$B52))</f>
        <v>1596.38904832</v>
      </c>
      <c r="O52" s="27" t="n">
        <f aca="false">IF(O$4&lt;$B52,0,INDEX($D$10:$U$10,$B52)*(1-Assumptions!$C$18)^(O$4-$B52))</f>
        <v>1404.8223625216</v>
      </c>
      <c r="P52" s="27" t="n">
        <f aca="false">IF(P$4&lt;$B52,0,INDEX($D$10:$U$10,$B52)*(1-Assumptions!$C$18)^(P$4-$B52))</f>
        <v>1236.24367901901</v>
      </c>
      <c r="Q52" s="27" t="n">
        <f aca="false">IF(Q$4&lt;$B52,0,INDEX($D$10:$U$10,$B52)*(1-Assumptions!$C$18)^(Q$4-$B52))</f>
        <v>1087.89443753673</v>
      </c>
      <c r="R52" s="27" t="n">
        <f aca="false">IF(R$4&lt;$B52,0,INDEX($D$10:$U$10,$B52)*(1-Assumptions!$C$18)^(R$4-$B52))</f>
        <v>957.34710503232</v>
      </c>
      <c r="S52" s="27" t="n">
        <f aca="false">IF(S$4&lt;$B52,0,INDEX($D$10:$U$10,$B52)*(1-Assumptions!$C$18)^(S$4-$B52))</f>
        <v>842.465452428441</v>
      </c>
      <c r="T52" s="27" t="n">
        <f aca="false">IF(T$4&lt;$B52,0,INDEX($D$10:$U$10,$B52)*(1-Assumptions!$C$18)^(T$4-$B52))</f>
        <v>741.369598137028</v>
      </c>
      <c r="U52" s="27" t="n">
        <f aca="false">IF(U$4&lt;$B52,0,INDEX($D$10:$U$10,$B52)*(1-Assumptions!$C$18)^(U$4-$B52))</f>
        <v>652.405246360585</v>
      </c>
    </row>
    <row r="53" customFormat="false" ht="15" hidden="false" customHeight="false" outlineLevel="0" collapsed="false">
      <c r="A53" s="2" t="s">
        <v>270</v>
      </c>
      <c r="B53" s="15" t="n">
        <v>5</v>
      </c>
      <c r="D53" s="27" t="n">
        <f aca="false">IF(D$4&lt;$B53,0,INDEX($D$10:$U$10,$B53)*(1-Assumptions!$C$18)^(D$4-$B53))</f>
        <v>0</v>
      </c>
      <c r="E53" s="27" t="n">
        <f aca="false">IF(E$4&lt;$B53,0,INDEX($D$10:$U$10,$B53)*(1-Assumptions!$C$18)^(E$4-$B53))</f>
        <v>0</v>
      </c>
      <c r="F53" s="27" t="n">
        <f aca="false">IF(F$4&lt;$B53,0,INDEX($D$10:$U$10,$B53)*(1-Assumptions!$C$18)^(F$4-$B53))</f>
        <v>0</v>
      </c>
      <c r="G53" s="27" t="n">
        <f aca="false">IF(G$4&lt;$B53,0,INDEX($D$10:$U$10,$B53)*(1-Assumptions!$C$18)^(G$4-$B53))</f>
        <v>0</v>
      </c>
      <c r="H53" s="27" t="n">
        <f aca="false">IF(H$4&lt;$B53,0,INDEX($D$10:$U$10,$B53)*(1-Assumptions!$C$18)^(H$4-$B53))</f>
        <v>4687.5</v>
      </c>
      <c r="I53" s="27" t="n">
        <f aca="false">IF(I$4&lt;$B53,0,INDEX($D$10:$U$10,$B53)*(1-Assumptions!$C$18)^(I$4-$B53))</f>
        <v>4125</v>
      </c>
      <c r="J53" s="27" t="n">
        <f aca="false">IF(J$4&lt;$B53,0,INDEX($D$10:$U$10,$B53)*(1-Assumptions!$C$18)^(J$4-$B53))</f>
        <v>3630</v>
      </c>
      <c r="K53" s="27" t="n">
        <f aca="false">IF(K$4&lt;$B53,0,INDEX($D$10:$U$10,$B53)*(1-Assumptions!$C$18)^(K$4-$B53))</f>
        <v>3194.4</v>
      </c>
      <c r="L53" s="27" t="n">
        <f aca="false">IF(L$4&lt;$B53,0,INDEX($D$10:$U$10,$B53)*(1-Assumptions!$C$18)^(L$4-$B53))</f>
        <v>2811.072</v>
      </c>
      <c r="M53" s="27" t="n">
        <f aca="false">IF(M$4&lt;$B53,0,INDEX($D$10:$U$10,$B53)*(1-Assumptions!$C$18)^(M$4-$B53))</f>
        <v>2473.74336</v>
      </c>
      <c r="N53" s="27" t="n">
        <f aca="false">IF(N$4&lt;$B53,0,INDEX($D$10:$U$10,$B53)*(1-Assumptions!$C$18)^(N$4-$B53))</f>
        <v>2176.8941568</v>
      </c>
      <c r="O53" s="27" t="n">
        <f aca="false">IF(O$4&lt;$B53,0,INDEX($D$10:$U$10,$B53)*(1-Assumptions!$C$18)^(O$4-$B53))</f>
        <v>1915.666857984</v>
      </c>
      <c r="P53" s="27" t="n">
        <f aca="false">IF(P$4&lt;$B53,0,INDEX($D$10:$U$10,$B53)*(1-Assumptions!$C$18)^(P$4-$B53))</f>
        <v>1685.78683502592</v>
      </c>
      <c r="Q53" s="27" t="n">
        <f aca="false">IF(Q$4&lt;$B53,0,INDEX($D$10:$U$10,$B53)*(1-Assumptions!$C$18)^(Q$4-$B53))</f>
        <v>1483.49241482281</v>
      </c>
      <c r="R53" s="27" t="n">
        <f aca="false">IF(R$4&lt;$B53,0,INDEX($D$10:$U$10,$B53)*(1-Assumptions!$C$18)^(R$4-$B53))</f>
        <v>1305.47332504407</v>
      </c>
      <c r="S53" s="27" t="n">
        <f aca="false">IF(S$4&lt;$B53,0,INDEX($D$10:$U$10,$B53)*(1-Assumptions!$C$18)^(S$4-$B53))</f>
        <v>1148.81652603878</v>
      </c>
      <c r="T53" s="27" t="n">
        <f aca="false">IF(T$4&lt;$B53,0,INDEX($D$10:$U$10,$B53)*(1-Assumptions!$C$18)^(T$4-$B53))</f>
        <v>1010.95854291413</v>
      </c>
      <c r="U53" s="27" t="n">
        <f aca="false">IF(U$4&lt;$B53,0,INDEX($D$10:$U$10,$B53)*(1-Assumptions!$C$18)^(U$4-$B53))</f>
        <v>889.643517764434</v>
      </c>
    </row>
    <row r="54" customFormat="false" ht="15" hidden="false" customHeight="false" outlineLevel="0" collapsed="false">
      <c r="A54" s="2" t="s">
        <v>271</v>
      </c>
      <c r="B54" s="15" t="n">
        <v>6</v>
      </c>
      <c r="D54" s="27" t="n">
        <f aca="false">IF(D$4&lt;$B54,0,INDEX($D$10:$U$10,$B54)*(1-Assumptions!$C$18)^(D$4-$B54))</f>
        <v>0</v>
      </c>
      <c r="E54" s="27" t="n">
        <f aca="false">IF(E$4&lt;$B54,0,INDEX($D$10:$U$10,$B54)*(1-Assumptions!$C$18)^(E$4-$B54))</f>
        <v>0</v>
      </c>
      <c r="F54" s="27" t="n">
        <f aca="false">IF(F$4&lt;$B54,0,INDEX($D$10:$U$10,$B54)*(1-Assumptions!$C$18)^(F$4-$B54))</f>
        <v>0</v>
      </c>
      <c r="G54" s="27" t="n">
        <f aca="false">IF(G$4&lt;$B54,0,INDEX($D$10:$U$10,$B54)*(1-Assumptions!$C$18)^(G$4-$B54))</f>
        <v>0</v>
      </c>
      <c r="H54" s="27" t="n">
        <f aca="false">IF(H$4&lt;$B54,0,INDEX($D$10:$U$10,$B54)*(1-Assumptions!$C$18)^(H$4-$B54))</f>
        <v>0</v>
      </c>
      <c r="I54" s="27" t="n">
        <f aca="false">IF(I$4&lt;$B54,0,INDEX($D$10:$U$10,$B54)*(1-Assumptions!$C$18)^(I$4-$B54))</f>
        <v>5468.75</v>
      </c>
      <c r="J54" s="27" t="n">
        <f aca="false">IF(J$4&lt;$B54,0,INDEX($D$10:$U$10,$B54)*(1-Assumptions!$C$18)^(J$4-$B54))</f>
        <v>4812.5</v>
      </c>
      <c r="K54" s="27" t="n">
        <f aca="false">IF(K$4&lt;$B54,0,INDEX($D$10:$U$10,$B54)*(1-Assumptions!$C$18)^(K$4-$B54))</f>
        <v>4235</v>
      </c>
      <c r="L54" s="27" t="n">
        <f aca="false">IF(L$4&lt;$B54,0,INDEX($D$10:$U$10,$B54)*(1-Assumptions!$C$18)^(L$4-$B54))</f>
        <v>3726.8</v>
      </c>
      <c r="M54" s="27" t="n">
        <f aca="false">IF(M$4&lt;$B54,0,INDEX($D$10:$U$10,$B54)*(1-Assumptions!$C$18)^(M$4-$B54))</f>
        <v>3279.584</v>
      </c>
      <c r="N54" s="27" t="n">
        <f aca="false">IF(N$4&lt;$B54,0,INDEX($D$10:$U$10,$B54)*(1-Assumptions!$C$18)^(N$4-$B54))</f>
        <v>2886.03392</v>
      </c>
      <c r="O54" s="27" t="n">
        <f aca="false">IF(O$4&lt;$B54,0,INDEX($D$10:$U$10,$B54)*(1-Assumptions!$C$18)^(O$4-$B54))</f>
        <v>2539.7098496</v>
      </c>
      <c r="P54" s="27" t="n">
        <f aca="false">IF(P$4&lt;$B54,0,INDEX($D$10:$U$10,$B54)*(1-Assumptions!$C$18)^(P$4-$B54))</f>
        <v>2234.944667648</v>
      </c>
      <c r="Q54" s="27" t="n">
        <f aca="false">IF(Q$4&lt;$B54,0,INDEX($D$10:$U$10,$B54)*(1-Assumptions!$C$18)^(Q$4-$B54))</f>
        <v>1966.75130753024</v>
      </c>
      <c r="R54" s="27" t="n">
        <f aca="false">IF(R$4&lt;$B54,0,INDEX($D$10:$U$10,$B54)*(1-Assumptions!$C$18)^(R$4-$B54))</f>
        <v>1730.74115062661</v>
      </c>
      <c r="S54" s="27" t="n">
        <f aca="false">IF(S$4&lt;$B54,0,INDEX($D$10:$U$10,$B54)*(1-Assumptions!$C$18)^(S$4-$B54))</f>
        <v>1523.05221255142</v>
      </c>
      <c r="T54" s="27" t="n">
        <f aca="false">IF(T$4&lt;$B54,0,INDEX($D$10:$U$10,$B54)*(1-Assumptions!$C$18)^(T$4-$B54))</f>
        <v>1340.28594704525</v>
      </c>
      <c r="U54" s="27" t="n">
        <f aca="false">IF(U$4&lt;$B54,0,INDEX($D$10:$U$10,$B54)*(1-Assumptions!$C$18)^(U$4-$B54))</f>
        <v>1179.45163339982</v>
      </c>
    </row>
    <row r="55" customFormat="false" ht="15" hidden="false" customHeight="false" outlineLevel="0" collapsed="false">
      <c r="A55" s="2" t="s">
        <v>272</v>
      </c>
      <c r="B55" s="15" t="n">
        <v>7</v>
      </c>
      <c r="D55" s="27" t="n">
        <f aca="false">IF(D$4&lt;$B55,0,INDEX($D$10:$U$10,$B55)*(1-Assumptions!$C$18)^(D$4-$B55))</f>
        <v>0</v>
      </c>
      <c r="E55" s="27" t="n">
        <f aca="false">IF(E$4&lt;$B55,0,INDEX($D$10:$U$10,$B55)*(1-Assumptions!$C$18)^(E$4-$B55))</f>
        <v>0</v>
      </c>
      <c r="F55" s="27" t="n">
        <f aca="false">IF(F$4&lt;$B55,0,INDEX($D$10:$U$10,$B55)*(1-Assumptions!$C$18)^(F$4-$B55))</f>
        <v>0</v>
      </c>
      <c r="G55" s="27" t="n">
        <f aca="false">IF(G$4&lt;$B55,0,INDEX($D$10:$U$10,$B55)*(1-Assumptions!$C$18)^(G$4-$B55))</f>
        <v>0</v>
      </c>
      <c r="H55" s="27" t="n">
        <f aca="false">IF(H$4&lt;$B55,0,INDEX($D$10:$U$10,$B55)*(1-Assumptions!$C$18)^(H$4-$B55))</f>
        <v>0</v>
      </c>
      <c r="I55" s="27" t="n">
        <f aca="false">IF(I$4&lt;$B55,0,INDEX($D$10:$U$10,$B55)*(1-Assumptions!$C$18)^(I$4-$B55))</f>
        <v>0</v>
      </c>
      <c r="J55" s="27" t="n">
        <f aca="false">IF(J$4&lt;$B55,0,INDEX($D$10:$U$10,$B55)*(1-Assumptions!$C$18)^(J$4-$B55))</f>
        <v>5468.75</v>
      </c>
      <c r="K55" s="27" t="n">
        <f aca="false">IF(K$4&lt;$B55,0,INDEX($D$10:$U$10,$B55)*(1-Assumptions!$C$18)^(K$4-$B55))</f>
        <v>4812.5</v>
      </c>
      <c r="L55" s="27" t="n">
        <f aca="false">IF(L$4&lt;$B55,0,INDEX($D$10:$U$10,$B55)*(1-Assumptions!$C$18)^(L$4-$B55))</f>
        <v>4235</v>
      </c>
      <c r="M55" s="27" t="n">
        <f aca="false">IF(M$4&lt;$B55,0,INDEX($D$10:$U$10,$B55)*(1-Assumptions!$C$18)^(M$4-$B55))</f>
        <v>3726.8</v>
      </c>
      <c r="N55" s="27" t="n">
        <f aca="false">IF(N$4&lt;$B55,0,INDEX($D$10:$U$10,$B55)*(1-Assumptions!$C$18)^(N$4-$B55))</f>
        <v>3279.584</v>
      </c>
      <c r="O55" s="27" t="n">
        <f aca="false">IF(O$4&lt;$B55,0,INDEX($D$10:$U$10,$B55)*(1-Assumptions!$C$18)^(O$4-$B55))</f>
        <v>2886.03392</v>
      </c>
      <c r="P55" s="27" t="n">
        <f aca="false">IF(P$4&lt;$B55,0,INDEX($D$10:$U$10,$B55)*(1-Assumptions!$C$18)^(P$4-$B55))</f>
        <v>2539.7098496</v>
      </c>
      <c r="Q55" s="27" t="n">
        <f aca="false">IF(Q$4&lt;$B55,0,INDEX($D$10:$U$10,$B55)*(1-Assumptions!$C$18)^(Q$4-$B55))</f>
        <v>2234.944667648</v>
      </c>
      <c r="R55" s="27" t="n">
        <f aca="false">IF(R$4&lt;$B55,0,INDEX($D$10:$U$10,$B55)*(1-Assumptions!$C$18)^(R$4-$B55))</f>
        <v>1966.75130753024</v>
      </c>
      <c r="S55" s="27" t="n">
        <f aca="false">IF(S$4&lt;$B55,0,INDEX($D$10:$U$10,$B55)*(1-Assumptions!$C$18)^(S$4-$B55))</f>
        <v>1730.74115062661</v>
      </c>
      <c r="T55" s="27" t="n">
        <f aca="false">IF(T$4&lt;$B55,0,INDEX($D$10:$U$10,$B55)*(1-Assumptions!$C$18)^(T$4-$B55))</f>
        <v>1523.05221255142</v>
      </c>
      <c r="U55" s="27" t="n">
        <f aca="false">IF(U$4&lt;$B55,0,INDEX($D$10:$U$10,$B55)*(1-Assumptions!$C$18)^(U$4-$B55))</f>
        <v>1340.28594704525</v>
      </c>
    </row>
    <row r="56" customFormat="false" ht="15" hidden="false" customHeight="false" outlineLevel="0" collapsed="false">
      <c r="A56" s="2" t="s">
        <v>273</v>
      </c>
      <c r="B56" s="15" t="n">
        <v>8</v>
      </c>
      <c r="D56" s="27" t="n">
        <f aca="false">IF(D$4&lt;$B56,0,INDEX($D$10:$U$10,$B56)*(1-Assumptions!$C$18)^(D$4-$B56))</f>
        <v>0</v>
      </c>
      <c r="E56" s="27" t="n">
        <f aca="false">IF(E$4&lt;$B56,0,INDEX($D$10:$U$10,$B56)*(1-Assumptions!$C$18)^(E$4-$B56))</f>
        <v>0</v>
      </c>
      <c r="F56" s="27" t="n">
        <f aca="false">IF(F$4&lt;$B56,0,INDEX($D$10:$U$10,$B56)*(1-Assumptions!$C$18)^(F$4-$B56))</f>
        <v>0</v>
      </c>
      <c r="G56" s="27" t="n">
        <f aca="false">IF(G$4&lt;$B56,0,INDEX($D$10:$U$10,$B56)*(1-Assumptions!$C$18)^(G$4-$B56))</f>
        <v>0</v>
      </c>
      <c r="H56" s="27" t="n">
        <f aca="false">IF(H$4&lt;$B56,0,INDEX($D$10:$U$10,$B56)*(1-Assumptions!$C$18)^(H$4-$B56))</f>
        <v>0</v>
      </c>
      <c r="I56" s="27" t="n">
        <f aca="false">IF(I$4&lt;$B56,0,INDEX($D$10:$U$10,$B56)*(1-Assumptions!$C$18)^(I$4-$B56))</f>
        <v>0</v>
      </c>
      <c r="J56" s="27" t="n">
        <f aca="false">IF(J$4&lt;$B56,0,INDEX($D$10:$U$10,$B56)*(1-Assumptions!$C$18)^(J$4-$B56))</f>
        <v>0</v>
      </c>
      <c r="K56" s="27" t="n">
        <f aca="false">IF(K$4&lt;$B56,0,INDEX($D$10:$U$10,$B56)*(1-Assumptions!$C$18)^(K$4-$B56))</f>
        <v>5468.75</v>
      </c>
      <c r="L56" s="27" t="n">
        <f aca="false">IF(L$4&lt;$B56,0,INDEX($D$10:$U$10,$B56)*(1-Assumptions!$C$18)^(L$4-$B56))</f>
        <v>4812.5</v>
      </c>
      <c r="M56" s="27" t="n">
        <f aca="false">IF(M$4&lt;$B56,0,INDEX($D$10:$U$10,$B56)*(1-Assumptions!$C$18)^(M$4-$B56))</f>
        <v>4235</v>
      </c>
      <c r="N56" s="27" t="n">
        <f aca="false">IF(N$4&lt;$B56,0,INDEX($D$10:$U$10,$B56)*(1-Assumptions!$C$18)^(N$4-$B56))</f>
        <v>3726.8</v>
      </c>
      <c r="O56" s="27" t="n">
        <f aca="false">IF(O$4&lt;$B56,0,INDEX($D$10:$U$10,$B56)*(1-Assumptions!$C$18)^(O$4-$B56))</f>
        <v>3279.584</v>
      </c>
      <c r="P56" s="27" t="n">
        <f aca="false">IF(P$4&lt;$B56,0,INDEX($D$10:$U$10,$B56)*(1-Assumptions!$C$18)^(P$4-$B56))</f>
        <v>2886.03392</v>
      </c>
      <c r="Q56" s="27" t="n">
        <f aca="false">IF(Q$4&lt;$B56,0,INDEX($D$10:$U$10,$B56)*(1-Assumptions!$C$18)^(Q$4-$B56))</f>
        <v>2539.7098496</v>
      </c>
      <c r="R56" s="27" t="n">
        <f aca="false">IF(R$4&lt;$B56,0,INDEX($D$10:$U$10,$B56)*(1-Assumptions!$C$18)^(R$4-$B56))</f>
        <v>2234.944667648</v>
      </c>
      <c r="S56" s="27" t="n">
        <f aca="false">IF(S$4&lt;$B56,0,INDEX($D$10:$U$10,$B56)*(1-Assumptions!$C$18)^(S$4-$B56))</f>
        <v>1966.75130753024</v>
      </c>
      <c r="T56" s="27" t="n">
        <f aca="false">IF(T$4&lt;$B56,0,INDEX($D$10:$U$10,$B56)*(1-Assumptions!$C$18)^(T$4-$B56))</f>
        <v>1730.74115062661</v>
      </c>
      <c r="U56" s="27" t="n">
        <f aca="false">IF(U$4&lt;$B56,0,INDEX($D$10:$U$10,$B56)*(1-Assumptions!$C$18)^(U$4-$B56))</f>
        <v>1523.05221255142</v>
      </c>
    </row>
    <row r="57" customFormat="false" ht="15" hidden="false" customHeight="false" outlineLevel="0" collapsed="false">
      <c r="A57" s="2" t="s">
        <v>274</v>
      </c>
      <c r="B57" s="15" t="n">
        <v>9</v>
      </c>
      <c r="D57" s="27" t="n">
        <f aca="false">IF(D$4&lt;$B57,0,INDEX($D$10:$U$10,$B57)*(1-Assumptions!$C$18)^(D$4-$B57))</f>
        <v>0</v>
      </c>
      <c r="E57" s="27" t="n">
        <f aca="false">IF(E$4&lt;$B57,0,INDEX($D$10:$U$10,$B57)*(1-Assumptions!$C$18)^(E$4-$B57))</f>
        <v>0</v>
      </c>
      <c r="F57" s="27" t="n">
        <f aca="false">IF(F$4&lt;$B57,0,INDEX($D$10:$U$10,$B57)*(1-Assumptions!$C$18)^(F$4-$B57))</f>
        <v>0</v>
      </c>
      <c r="G57" s="27" t="n">
        <f aca="false">IF(G$4&lt;$B57,0,INDEX($D$10:$U$10,$B57)*(1-Assumptions!$C$18)^(G$4-$B57))</f>
        <v>0</v>
      </c>
      <c r="H57" s="27" t="n">
        <f aca="false">IF(H$4&lt;$B57,0,INDEX($D$10:$U$10,$B57)*(1-Assumptions!$C$18)^(H$4-$B57))</f>
        <v>0</v>
      </c>
      <c r="I57" s="27" t="n">
        <f aca="false">IF(I$4&lt;$B57,0,INDEX($D$10:$U$10,$B57)*(1-Assumptions!$C$18)^(I$4-$B57))</f>
        <v>0</v>
      </c>
      <c r="J57" s="27" t="n">
        <f aca="false">IF(J$4&lt;$B57,0,INDEX($D$10:$U$10,$B57)*(1-Assumptions!$C$18)^(J$4-$B57))</f>
        <v>0</v>
      </c>
      <c r="K57" s="27" t="n">
        <f aca="false">IF(K$4&lt;$B57,0,INDEX($D$10:$U$10,$B57)*(1-Assumptions!$C$18)^(K$4-$B57))</f>
        <v>0</v>
      </c>
      <c r="L57" s="27" t="n">
        <f aca="false">IF(L$4&lt;$B57,0,INDEX($D$10:$U$10,$B57)*(1-Assumptions!$C$18)^(L$4-$B57))</f>
        <v>5468.75</v>
      </c>
      <c r="M57" s="27" t="n">
        <f aca="false">IF(M$4&lt;$B57,0,INDEX($D$10:$U$10,$B57)*(1-Assumptions!$C$18)^(M$4-$B57))</f>
        <v>4812.5</v>
      </c>
      <c r="N57" s="27" t="n">
        <f aca="false">IF(N$4&lt;$B57,0,INDEX($D$10:$U$10,$B57)*(1-Assumptions!$C$18)^(N$4-$B57))</f>
        <v>4235</v>
      </c>
      <c r="O57" s="27" t="n">
        <f aca="false">IF(O$4&lt;$B57,0,INDEX($D$10:$U$10,$B57)*(1-Assumptions!$C$18)^(O$4-$B57))</f>
        <v>3726.8</v>
      </c>
      <c r="P57" s="27" t="n">
        <f aca="false">IF(P$4&lt;$B57,0,INDEX($D$10:$U$10,$B57)*(1-Assumptions!$C$18)^(P$4-$B57))</f>
        <v>3279.584</v>
      </c>
      <c r="Q57" s="27" t="n">
        <f aca="false">IF(Q$4&lt;$B57,0,INDEX($D$10:$U$10,$B57)*(1-Assumptions!$C$18)^(Q$4-$B57))</f>
        <v>2886.03392</v>
      </c>
      <c r="R57" s="27" t="n">
        <f aca="false">IF(R$4&lt;$B57,0,INDEX($D$10:$U$10,$B57)*(1-Assumptions!$C$18)^(R$4-$B57))</f>
        <v>2539.7098496</v>
      </c>
      <c r="S57" s="27" t="n">
        <f aca="false">IF(S$4&lt;$B57,0,INDEX($D$10:$U$10,$B57)*(1-Assumptions!$C$18)^(S$4-$B57))</f>
        <v>2234.944667648</v>
      </c>
      <c r="T57" s="27" t="n">
        <f aca="false">IF(T$4&lt;$B57,0,INDEX($D$10:$U$10,$B57)*(1-Assumptions!$C$18)^(T$4-$B57))</f>
        <v>1966.75130753024</v>
      </c>
      <c r="U57" s="27" t="n">
        <f aca="false">IF(U$4&lt;$B57,0,INDEX($D$10:$U$10,$B57)*(1-Assumptions!$C$18)^(U$4-$B57))</f>
        <v>1730.74115062661</v>
      </c>
    </row>
    <row r="58" customFormat="false" ht="15" hidden="false" customHeight="false" outlineLevel="0" collapsed="false">
      <c r="A58" s="2" t="s">
        <v>275</v>
      </c>
      <c r="B58" s="15" t="n">
        <v>10</v>
      </c>
      <c r="D58" s="27" t="n">
        <f aca="false">IF(D$4&lt;$B58,0,INDEX($D$10:$U$10,$B58)*(1-Assumptions!$C$18)^(D$4-$B58))</f>
        <v>0</v>
      </c>
      <c r="E58" s="27" t="n">
        <f aca="false">IF(E$4&lt;$B58,0,INDEX($D$10:$U$10,$B58)*(1-Assumptions!$C$18)^(E$4-$B58))</f>
        <v>0</v>
      </c>
      <c r="F58" s="27" t="n">
        <f aca="false">IF(F$4&lt;$B58,0,INDEX($D$10:$U$10,$B58)*(1-Assumptions!$C$18)^(F$4-$B58))</f>
        <v>0</v>
      </c>
      <c r="G58" s="27" t="n">
        <f aca="false">IF(G$4&lt;$B58,0,INDEX($D$10:$U$10,$B58)*(1-Assumptions!$C$18)^(G$4-$B58))</f>
        <v>0</v>
      </c>
      <c r="H58" s="27" t="n">
        <f aca="false">IF(H$4&lt;$B58,0,INDEX($D$10:$U$10,$B58)*(1-Assumptions!$C$18)^(H$4-$B58))</f>
        <v>0</v>
      </c>
      <c r="I58" s="27" t="n">
        <f aca="false">IF(I$4&lt;$B58,0,INDEX($D$10:$U$10,$B58)*(1-Assumptions!$C$18)^(I$4-$B58))</f>
        <v>0</v>
      </c>
      <c r="J58" s="27" t="n">
        <f aca="false">IF(J$4&lt;$B58,0,INDEX($D$10:$U$10,$B58)*(1-Assumptions!$C$18)^(J$4-$B58))</f>
        <v>0</v>
      </c>
      <c r="K58" s="27" t="n">
        <f aca="false">IF(K$4&lt;$B58,0,INDEX($D$10:$U$10,$B58)*(1-Assumptions!$C$18)^(K$4-$B58))</f>
        <v>0</v>
      </c>
      <c r="L58" s="27" t="n">
        <f aca="false">IF(L$4&lt;$B58,0,INDEX($D$10:$U$10,$B58)*(1-Assumptions!$C$18)^(L$4-$B58))</f>
        <v>0</v>
      </c>
      <c r="M58" s="27" t="n">
        <f aca="false">IF(M$4&lt;$B58,0,INDEX($D$10:$U$10,$B58)*(1-Assumptions!$C$18)^(M$4-$B58))</f>
        <v>5468.75</v>
      </c>
      <c r="N58" s="27" t="n">
        <f aca="false">IF(N$4&lt;$B58,0,INDEX($D$10:$U$10,$B58)*(1-Assumptions!$C$18)^(N$4-$B58))</f>
        <v>4812.5</v>
      </c>
      <c r="O58" s="27" t="n">
        <f aca="false">IF(O$4&lt;$B58,0,INDEX($D$10:$U$10,$B58)*(1-Assumptions!$C$18)^(O$4-$B58))</f>
        <v>4235</v>
      </c>
      <c r="P58" s="27" t="n">
        <f aca="false">IF(P$4&lt;$B58,0,INDEX($D$10:$U$10,$B58)*(1-Assumptions!$C$18)^(P$4-$B58))</f>
        <v>3726.8</v>
      </c>
      <c r="Q58" s="27" t="n">
        <f aca="false">IF(Q$4&lt;$B58,0,INDEX($D$10:$U$10,$B58)*(1-Assumptions!$C$18)^(Q$4-$B58))</f>
        <v>3279.584</v>
      </c>
      <c r="R58" s="27" t="n">
        <f aca="false">IF(R$4&lt;$B58,0,INDEX($D$10:$U$10,$B58)*(1-Assumptions!$C$18)^(R$4-$B58))</f>
        <v>2886.03392</v>
      </c>
      <c r="S58" s="27" t="n">
        <f aca="false">IF(S$4&lt;$B58,0,INDEX($D$10:$U$10,$B58)*(1-Assumptions!$C$18)^(S$4-$B58))</f>
        <v>2539.7098496</v>
      </c>
      <c r="T58" s="27" t="n">
        <f aca="false">IF(T$4&lt;$B58,0,INDEX($D$10:$U$10,$B58)*(1-Assumptions!$C$18)^(T$4-$B58))</f>
        <v>2234.944667648</v>
      </c>
      <c r="U58" s="27" t="n">
        <f aca="false">IF(U$4&lt;$B58,0,INDEX($D$10:$U$10,$B58)*(1-Assumptions!$C$18)^(U$4-$B58))</f>
        <v>1966.75130753024</v>
      </c>
    </row>
    <row r="59" customFormat="false" ht="15" hidden="false" customHeight="false" outlineLevel="0" collapsed="false">
      <c r="A59" s="2" t="s">
        <v>276</v>
      </c>
      <c r="B59" s="15" t="n">
        <v>11</v>
      </c>
      <c r="D59" s="27" t="n">
        <f aca="false">IF(D$4&lt;$B59,0,INDEX($D$10:$U$10,$B59)*(1-Assumptions!$C$18)^(D$4-$B59))</f>
        <v>0</v>
      </c>
      <c r="E59" s="27" t="n">
        <f aca="false">IF(E$4&lt;$B59,0,INDEX($D$10:$U$10,$B59)*(1-Assumptions!$C$18)^(E$4-$B59))</f>
        <v>0</v>
      </c>
      <c r="F59" s="27" t="n">
        <f aca="false">IF(F$4&lt;$B59,0,INDEX($D$10:$U$10,$B59)*(1-Assumptions!$C$18)^(F$4-$B59))</f>
        <v>0</v>
      </c>
      <c r="G59" s="27" t="n">
        <f aca="false">IF(G$4&lt;$B59,0,INDEX($D$10:$U$10,$B59)*(1-Assumptions!$C$18)^(G$4-$B59))</f>
        <v>0</v>
      </c>
      <c r="H59" s="27" t="n">
        <f aca="false">IF(H$4&lt;$B59,0,INDEX($D$10:$U$10,$B59)*(1-Assumptions!$C$18)^(H$4-$B59))</f>
        <v>0</v>
      </c>
      <c r="I59" s="27" t="n">
        <f aca="false">IF(I$4&lt;$B59,0,INDEX($D$10:$U$10,$B59)*(1-Assumptions!$C$18)^(I$4-$B59))</f>
        <v>0</v>
      </c>
      <c r="J59" s="27" t="n">
        <f aca="false">IF(J$4&lt;$B59,0,INDEX($D$10:$U$10,$B59)*(1-Assumptions!$C$18)^(J$4-$B59))</f>
        <v>0</v>
      </c>
      <c r="K59" s="27" t="n">
        <f aca="false">IF(K$4&lt;$B59,0,INDEX($D$10:$U$10,$B59)*(1-Assumptions!$C$18)^(K$4-$B59))</f>
        <v>0</v>
      </c>
      <c r="L59" s="27" t="n">
        <f aca="false">IF(L$4&lt;$B59,0,INDEX($D$10:$U$10,$B59)*(1-Assumptions!$C$18)^(L$4-$B59))</f>
        <v>0</v>
      </c>
      <c r="M59" s="27" t="n">
        <f aca="false">IF(M$4&lt;$B59,0,INDEX($D$10:$U$10,$B59)*(1-Assumptions!$C$18)^(M$4-$B59))</f>
        <v>0</v>
      </c>
      <c r="N59" s="27" t="n">
        <f aca="false">IF(N$4&lt;$B59,0,INDEX($D$10:$U$10,$B59)*(1-Assumptions!$C$18)^(N$4-$B59))</f>
        <v>4687.5</v>
      </c>
      <c r="O59" s="27" t="n">
        <f aca="false">IF(O$4&lt;$B59,0,INDEX($D$10:$U$10,$B59)*(1-Assumptions!$C$18)^(O$4-$B59))</f>
        <v>4125</v>
      </c>
      <c r="P59" s="27" t="n">
        <f aca="false">IF(P$4&lt;$B59,0,INDEX($D$10:$U$10,$B59)*(1-Assumptions!$C$18)^(P$4-$B59))</f>
        <v>3630</v>
      </c>
      <c r="Q59" s="27" t="n">
        <f aca="false">IF(Q$4&lt;$B59,0,INDEX($D$10:$U$10,$B59)*(1-Assumptions!$C$18)^(Q$4-$B59))</f>
        <v>3194.4</v>
      </c>
      <c r="R59" s="27" t="n">
        <f aca="false">IF(R$4&lt;$B59,0,INDEX($D$10:$U$10,$B59)*(1-Assumptions!$C$18)^(R$4-$B59))</f>
        <v>2811.072</v>
      </c>
      <c r="S59" s="27" t="n">
        <f aca="false">IF(S$4&lt;$B59,0,INDEX($D$10:$U$10,$B59)*(1-Assumptions!$C$18)^(S$4-$B59))</f>
        <v>2473.74336</v>
      </c>
      <c r="T59" s="27" t="n">
        <f aca="false">IF(T$4&lt;$B59,0,INDEX($D$10:$U$10,$B59)*(1-Assumptions!$C$18)^(T$4-$B59))</f>
        <v>2176.8941568</v>
      </c>
      <c r="U59" s="27" t="n">
        <f aca="false">IF(U$4&lt;$B59,0,INDEX($D$10:$U$10,$B59)*(1-Assumptions!$C$18)^(U$4-$B59))</f>
        <v>1915.666857984</v>
      </c>
    </row>
    <row r="60" customFormat="false" ht="15" hidden="false" customHeight="false" outlineLevel="0" collapsed="false">
      <c r="A60" s="2" t="s">
        <v>277</v>
      </c>
      <c r="B60" s="15" t="n">
        <v>12</v>
      </c>
      <c r="D60" s="27" t="n">
        <f aca="false">IF(D$4&lt;$B60,0,INDEX($D$10:$U$10,$B60)*(1-Assumptions!$C$18)^(D$4-$B60))</f>
        <v>0</v>
      </c>
      <c r="E60" s="27" t="n">
        <f aca="false">IF(E$4&lt;$B60,0,INDEX($D$10:$U$10,$B60)*(1-Assumptions!$C$18)^(E$4-$B60))</f>
        <v>0</v>
      </c>
      <c r="F60" s="27" t="n">
        <f aca="false">IF(F$4&lt;$B60,0,INDEX($D$10:$U$10,$B60)*(1-Assumptions!$C$18)^(F$4-$B60))</f>
        <v>0</v>
      </c>
      <c r="G60" s="27" t="n">
        <f aca="false">IF(G$4&lt;$B60,0,INDEX($D$10:$U$10,$B60)*(1-Assumptions!$C$18)^(G$4-$B60))</f>
        <v>0</v>
      </c>
      <c r="H60" s="27" t="n">
        <f aca="false">IF(H$4&lt;$B60,0,INDEX($D$10:$U$10,$B60)*(1-Assumptions!$C$18)^(H$4-$B60))</f>
        <v>0</v>
      </c>
      <c r="I60" s="27" t="n">
        <f aca="false">IF(I$4&lt;$B60,0,INDEX($D$10:$U$10,$B60)*(1-Assumptions!$C$18)^(I$4-$B60))</f>
        <v>0</v>
      </c>
      <c r="J60" s="27" t="n">
        <f aca="false">IF(J$4&lt;$B60,0,INDEX($D$10:$U$10,$B60)*(1-Assumptions!$C$18)^(J$4-$B60))</f>
        <v>0</v>
      </c>
      <c r="K60" s="27" t="n">
        <f aca="false">IF(K$4&lt;$B60,0,INDEX($D$10:$U$10,$B60)*(1-Assumptions!$C$18)^(K$4-$B60))</f>
        <v>0</v>
      </c>
      <c r="L60" s="27" t="n">
        <f aca="false">IF(L$4&lt;$B60,0,INDEX($D$10:$U$10,$B60)*(1-Assumptions!$C$18)^(L$4-$B60))</f>
        <v>0</v>
      </c>
      <c r="M60" s="27" t="n">
        <f aca="false">IF(M$4&lt;$B60,0,INDEX($D$10:$U$10,$B60)*(1-Assumptions!$C$18)^(M$4-$B60))</f>
        <v>0</v>
      </c>
      <c r="N60" s="27" t="n">
        <f aca="false">IF(N$4&lt;$B60,0,INDEX($D$10:$U$10,$B60)*(1-Assumptions!$C$18)^(N$4-$B60))</f>
        <v>0</v>
      </c>
      <c r="O60" s="27" t="n">
        <f aca="false">IF(O$4&lt;$B60,0,INDEX($D$10:$U$10,$B60)*(1-Assumptions!$C$18)^(O$4-$B60))</f>
        <v>4687.5</v>
      </c>
      <c r="P60" s="27" t="n">
        <f aca="false">IF(P$4&lt;$B60,0,INDEX($D$10:$U$10,$B60)*(1-Assumptions!$C$18)^(P$4-$B60))</f>
        <v>4125</v>
      </c>
      <c r="Q60" s="27" t="n">
        <f aca="false">IF(Q$4&lt;$B60,0,INDEX($D$10:$U$10,$B60)*(1-Assumptions!$C$18)^(Q$4-$B60))</f>
        <v>3630</v>
      </c>
      <c r="R60" s="27" t="n">
        <f aca="false">IF(R$4&lt;$B60,0,INDEX($D$10:$U$10,$B60)*(1-Assumptions!$C$18)^(R$4-$B60))</f>
        <v>3194.4</v>
      </c>
      <c r="S60" s="27" t="n">
        <f aca="false">IF(S$4&lt;$B60,0,INDEX($D$10:$U$10,$B60)*(1-Assumptions!$C$18)^(S$4-$B60))</f>
        <v>2811.072</v>
      </c>
      <c r="T60" s="27" t="n">
        <f aca="false">IF(T$4&lt;$B60,0,INDEX($D$10:$U$10,$B60)*(1-Assumptions!$C$18)^(T$4-$B60))</f>
        <v>2473.74336</v>
      </c>
      <c r="U60" s="27" t="n">
        <f aca="false">IF(U$4&lt;$B60,0,INDEX($D$10:$U$10,$B60)*(1-Assumptions!$C$18)^(U$4-$B60))</f>
        <v>2176.8941568</v>
      </c>
    </row>
    <row r="61" customFormat="false" ht="15" hidden="false" customHeight="false" outlineLevel="0" collapsed="false">
      <c r="A61" s="2" t="s">
        <v>278</v>
      </c>
      <c r="B61" s="15" t="n">
        <v>13</v>
      </c>
      <c r="D61" s="27" t="n">
        <f aca="false">IF(D$4&lt;$B61,0,INDEX($D$10:$U$10,$B61)*(1-Assumptions!$C$18)^(D$4-$B61))</f>
        <v>0</v>
      </c>
      <c r="E61" s="27" t="n">
        <f aca="false">IF(E$4&lt;$B61,0,INDEX($D$10:$U$10,$B61)*(1-Assumptions!$C$18)^(E$4-$B61))</f>
        <v>0</v>
      </c>
      <c r="F61" s="27" t="n">
        <f aca="false">IF(F$4&lt;$B61,0,INDEX($D$10:$U$10,$B61)*(1-Assumptions!$C$18)^(F$4-$B61))</f>
        <v>0</v>
      </c>
      <c r="G61" s="27" t="n">
        <f aca="false">IF(G$4&lt;$B61,0,INDEX($D$10:$U$10,$B61)*(1-Assumptions!$C$18)^(G$4-$B61))</f>
        <v>0</v>
      </c>
      <c r="H61" s="27" t="n">
        <f aca="false">IF(H$4&lt;$B61,0,INDEX($D$10:$U$10,$B61)*(1-Assumptions!$C$18)^(H$4-$B61))</f>
        <v>0</v>
      </c>
      <c r="I61" s="27" t="n">
        <f aca="false">IF(I$4&lt;$B61,0,INDEX($D$10:$U$10,$B61)*(1-Assumptions!$C$18)^(I$4-$B61))</f>
        <v>0</v>
      </c>
      <c r="J61" s="27" t="n">
        <f aca="false">IF(J$4&lt;$B61,0,INDEX($D$10:$U$10,$B61)*(1-Assumptions!$C$18)^(J$4-$B61))</f>
        <v>0</v>
      </c>
      <c r="K61" s="27" t="n">
        <f aca="false">IF(K$4&lt;$B61,0,INDEX($D$10:$U$10,$B61)*(1-Assumptions!$C$18)^(K$4-$B61))</f>
        <v>0</v>
      </c>
      <c r="L61" s="27" t="n">
        <f aca="false">IF(L$4&lt;$B61,0,INDEX($D$10:$U$10,$B61)*(1-Assumptions!$C$18)^(L$4-$B61))</f>
        <v>0</v>
      </c>
      <c r="M61" s="27" t="n">
        <f aca="false">IF(M$4&lt;$B61,0,INDEX($D$10:$U$10,$B61)*(1-Assumptions!$C$18)^(M$4-$B61))</f>
        <v>0</v>
      </c>
      <c r="N61" s="27" t="n">
        <f aca="false">IF(N$4&lt;$B61,0,INDEX($D$10:$U$10,$B61)*(1-Assumptions!$C$18)^(N$4-$B61))</f>
        <v>0</v>
      </c>
      <c r="O61" s="27" t="n">
        <f aca="false">IF(O$4&lt;$B61,0,INDEX($D$10:$U$10,$B61)*(1-Assumptions!$C$18)^(O$4-$B61))</f>
        <v>0</v>
      </c>
      <c r="P61" s="27" t="n">
        <f aca="false">IF(P$4&lt;$B61,0,INDEX($D$10:$U$10,$B61)*(1-Assumptions!$C$18)^(P$4-$B61))</f>
        <v>4687.5</v>
      </c>
      <c r="Q61" s="27" t="n">
        <f aca="false">IF(Q$4&lt;$B61,0,INDEX($D$10:$U$10,$B61)*(1-Assumptions!$C$18)^(Q$4-$B61))</f>
        <v>4125</v>
      </c>
      <c r="R61" s="27" t="n">
        <f aca="false">IF(R$4&lt;$B61,0,INDEX($D$10:$U$10,$B61)*(1-Assumptions!$C$18)^(R$4-$B61))</f>
        <v>3630</v>
      </c>
      <c r="S61" s="27" t="n">
        <f aca="false">IF(S$4&lt;$B61,0,INDEX($D$10:$U$10,$B61)*(1-Assumptions!$C$18)^(S$4-$B61))</f>
        <v>3194.4</v>
      </c>
      <c r="T61" s="27" t="n">
        <f aca="false">IF(T$4&lt;$B61,0,INDEX($D$10:$U$10,$B61)*(1-Assumptions!$C$18)^(T$4-$B61))</f>
        <v>2811.072</v>
      </c>
      <c r="U61" s="27" t="n">
        <f aca="false">IF(U$4&lt;$B61,0,INDEX($D$10:$U$10,$B61)*(1-Assumptions!$C$18)^(U$4-$B61))</f>
        <v>2473.74336</v>
      </c>
    </row>
    <row r="62" customFormat="false" ht="15" hidden="false" customHeight="false" outlineLevel="0" collapsed="false">
      <c r="A62" s="2" t="s">
        <v>279</v>
      </c>
      <c r="B62" s="15" t="n">
        <v>14</v>
      </c>
      <c r="D62" s="27" t="n">
        <f aca="false">IF(D$4&lt;$B62,0,INDEX($D$10:$U$10,$B62)*(1-Assumptions!$C$18)^(D$4-$B62))</f>
        <v>0</v>
      </c>
      <c r="E62" s="27" t="n">
        <f aca="false">IF(E$4&lt;$B62,0,INDEX($D$10:$U$10,$B62)*(1-Assumptions!$C$18)^(E$4-$B62))</f>
        <v>0</v>
      </c>
      <c r="F62" s="27" t="n">
        <f aca="false">IF(F$4&lt;$B62,0,INDEX($D$10:$U$10,$B62)*(1-Assumptions!$C$18)^(F$4-$B62))</f>
        <v>0</v>
      </c>
      <c r="G62" s="27" t="n">
        <f aca="false">IF(G$4&lt;$B62,0,INDEX($D$10:$U$10,$B62)*(1-Assumptions!$C$18)^(G$4-$B62))</f>
        <v>0</v>
      </c>
      <c r="H62" s="27" t="n">
        <f aca="false">IF(H$4&lt;$B62,0,INDEX($D$10:$U$10,$B62)*(1-Assumptions!$C$18)^(H$4-$B62))</f>
        <v>0</v>
      </c>
      <c r="I62" s="27" t="n">
        <f aca="false">IF(I$4&lt;$B62,0,INDEX($D$10:$U$10,$B62)*(1-Assumptions!$C$18)^(I$4-$B62))</f>
        <v>0</v>
      </c>
      <c r="J62" s="27" t="n">
        <f aca="false">IF(J$4&lt;$B62,0,INDEX($D$10:$U$10,$B62)*(1-Assumptions!$C$18)^(J$4-$B62))</f>
        <v>0</v>
      </c>
      <c r="K62" s="27" t="n">
        <f aca="false">IF(K$4&lt;$B62,0,INDEX($D$10:$U$10,$B62)*(1-Assumptions!$C$18)^(K$4-$B62))</f>
        <v>0</v>
      </c>
      <c r="L62" s="27" t="n">
        <f aca="false">IF(L$4&lt;$B62,0,INDEX($D$10:$U$10,$B62)*(1-Assumptions!$C$18)^(L$4-$B62))</f>
        <v>0</v>
      </c>
      <c r="M62" s="27" t="n">
        <f aca="false">IF(M$4&lt;$B62,0,INDEX($D$10:$U$10,$B62)*(1-Assumptions!$C$18)^(M$4-$B62))</f>
        <v>0</v>
      </c>
      <c r="N62" s="27" t="n">
        <f aca="false">IF(N$4&lt;$B62,0,INDEX($D$10:$U$10,$B62)*(1-Assumptions!$C$18)^(N$4-$B62))</f>
        <v>0</v>
      </c>
      <c r="O62" s="27" t="n">
        <f aca="false">IF(O$4&lt;$B62,0,INDEX($D$10:$U$10,$B62)*(1-Assumptions!$C$18)^(O$4-$B62))</f>
        <v>0</v>
      </c>
      <c r="P62" s="27" t="n">
        <f aca="false">IF(P$4&lt;$B62,0,INDEX($D$10:$U$10,$B62)*(1-Assumptions!$C$18)^(P$4-$B62))</f>
        <v>0</v>
      </c>
      <c r="Q62" s="27" t="n">
        <f aca="false">IF(Q$4&lt;$B62,0,INDEX($D$10:$U$10,$B62)*(1-Assumptions!$C$18)^(Q$4-$B62))</f>
        <v>3906.25</v>
      </c>
      <c r="R62" s="27" t="n">
        <f aca="false">IF(R$4&lt;$B62,0,INDEX($D$10:$U$10,$B62)*(1-Assumptions!$C$18)^(R$4-$B62))</f>
        <v>3437.5</v>
      </c>
      <c r="S62" s="27" t="n">
        <f aca="false">IF(S$4&lt;$B62,0,INDEX($D$10:$U$10,$B62)*(1-Assumptions!$C$18)^(S$4-$B62))</f>
        <v>3025</v>
      </c>
      <c r="T62" s="27" t="n">
        <f aca="false">IF(T$4&lt;$B62,0,INDEX($D$10:$U$10,$B62)*(1-Assumptions!$C$18)^(T$4-$B62))</f>
        <v>2662</v>
      </c>
      <c r="U62" s="27" t="n">
        <f aca="false">IF(U$4&lt;$B62,0,INDEX($D$10:$U$10,$B62)*(1-Assumptions!$C$18)^(U$4-$B62))</f>
        <v>2342.56</v>
      </c>
    </row>
    <row r="63" customFormat="false" ht="15" hidden="false" customHeight="false" outlineLevel="0" collapsed="false">
      <c r="A63" s="2" t="s">
        <v>280</v>
      </c>
      <c r="B63" s="15" t="n">
        <v>15</v>
      </c>
      <c r="D63" s="27" t="n">
        <f aca="false">IF(D$4&lt;$B63,0,INDEX($D$10:$U$10,$B63)*(1-Assumptions!$C$18)^(D$4-$B63))</f>
        <v>0</v>
      </c>
      <c r="E63" s="27" t="n">
        <f aca="false">IF(E$4&lt;$B63,0,INDEX($D$10:$U$10,$B63)*(1-Assumptions!$C$18)^(E$4-$B63))</f>
        <v>0</v>
      </c>
      <c r="F63" s="27" t="n">
        <f aca="false">IF(F$4&lt;$B63,0,INDEX($D$10:$U$10,$B63)*(1-Assumptions!$C$18)^(F$4-$B63))</f>
        <v>0</v>
      </c>
      <c r="G63" s="27" t="n">
        <f aca="false">IF(G$4&lt;$B63,0,INDEX($D$10:$U$10,$B63)*(1-Assumptions!$C$18)^(G$4-$B63))</f>
        <v>0</v>
      </c>
      <c r="H63" s="27" t="n">
        <f aca="false">IF(H$4&lt;$B63,0,INDEX($D$10:$U$10,$B63)*(1-Assumptions!$C$18)^(H$4-$B63))</f>
        <v>0</v>
      </c>
      <c r="I63" s="27" t="n">
        <f aca="false">IF(I$4&lt;$B63,0,INDEX($D$10:$U$10,$B63)*(1-Assumptions!$C$18)^(I$4-$B63))</f>
        <v>0</v>
      </c>
      <c r="J63" s="27" t="n">
        <f aca="false">IF(J$4&lt;$B63,0,INDEX($D$10:$U$10,$B63)*(1-Assumptions!$C$18)^(J$4-$B63))</f>
        <v>0</v>
      </c>
      <c r="K63" s="27" t="n">
        <f aca="false">IF(K$4&lt;$B63,0,INDEX($D$10:$U$10,$B63)*(1-Assumptions!$C$18)^(K$4-$B63))</f>
        <v>0</v>
      </c>
      <c r="L63" s="27" t="n">
        <f aca="false">IF(L$4&lt;$B63,0,INDEX($D$10:$U$10,$B63)*(1-Assumptions!$C$18)^(L$4-$B63))</f>
        <v>0</v>
      </c>
      <c r="M63" s="27" t="n">
        <f aca="false">IF(M$4&lt;$B63,0,INDEX($D$10:$U$10,$B63)*(1-Assumptions!$C$18)^(M$4-$B63))</f>
        <v>0</v>
      </c>
      <c r="N63" s="27" t="n">
        <f aca="false">IF(N$4&lt;$B63,0,INDEX($D$10:$U$10,$B63)*(1-Assumptions!$C$18)^(N$4-$B63))</f>
        <v>0</v>
      </c>
      <c r="O63" s="27" t="n">
        <f aca="false">IF(O$4&lt;$B63,0,INDEX($D$10:$U$10,$B63)*(1-Assumptions!$C$18)^(O$4-$B63))</f>
        <v>0</v>
      </c>
      <c r="P63" s="27" t="n">
        <f aca="false">IF(P$4&lt;$B63,0,INDEX($D$10:$U$10,$B63)*(1-Assumptions!$C$18)^(P$4-$B63))</f>
        <v>0</v>
      </c>
      <c r="Q63" s="27" t="n">
        <f aca="false">IF(Q$4&lt;$B63,0,INDEX($D$10:$U$10,$B63)*(1-Assumptions!$C$18)^(Q$4-$B63))</f>
        <v>0</v>
      </c>
      <c r="R63" s="27" t="n">
        <f aca="false">IF(R$4&lt;$B63,0,INDEX($D$10:$U$10,$B63)*(1-Assumptions!$C$18)^(R$4-$B63))</f>
        <v>3906.25</v>
      </c>
      <c r="S63" s="27" t="n">
        <f aca="false">IF(S$4&lt;$B63,0,INDEX($D$10:$U$10,$B63)*(1-Assumptions!$C$18)^(S$4-$B63))</f>
        <v>3437.5</v>
      </c>
      <c r="T63" s="27" t="n">
        <f aca="false">IF(T$4&lt;$B63,0,INDEX($D$10:$U$10,$B63)*(1-Assumptions!$C$18)^(T$4-$B63))</f>
        <v>3025</v>
      </c>
      <c r="U63" s="27" t="n">
        <f aca="false">IF(U$4&lt;$B63,0,INDEX($D$10:$U$10,$B63)*(1-Assumptions!$C$18)^(U$4-$B63))</f>
        <v>2662</v>
      </c>
    </row>
    <row r="64" customFormat="false" ht="15" hidden="false" customHeight="false" outlineLevel="0" collapsed="false">
      <c r="A64" s="2" t="s">
        <v>281</v>
      </c>
      <c r="B64" s="15" t="n">
        <v>16</v>
      </c>
      <c r="D64" s="27" t="n">
        <f aca="false">IF(D$4&lt;$B64,0,INDEX($D$10:$U$10,$B64)*(1-Assumptions!$C$18)^(D$4-$B64))</f>
        <v>0</v>
      </c>
      <c r="E64" s="27" t="n">
        <f aca="false">IF(E$4&lt;$B64,0,INDEX($D$10:$U$10,$B64)*(1-Assumptions!$C$18)^(E$4-$B64))</f>
        <v>0</v>
      </c>
      <c r="F64" s="27" t="n">
        <f aca="false">IF(F$4&lt;$B64,0,INDEX($D$10:$U$10,$B64)*(1-Assumptions!$C$18)^(F$4-$B64))</f>
        <v>0</v>
      </c>
      <c r="G64" s="27" t="n">
        <f aca="false">IF(G$4&lt;$B64,0,INDEX($D$10:$U$10,$B64)*(1-Assumptions!$C$18)^(G$4-$B64))</f>
        <v>0</v>
      </c>
      <c r="H64" s="27" t="n">
        <f aca="false">IF(H$4&lt;$B64,0,INDEX($D$10:$U$10,$B64)*(1-Assumptions!$C$18)^(H$4-$B64))</f>
        <v>0</v>
      </c>
      <c r="I64" s="27" t="n">
        <f aca="false">IF(I$4&lt;$B64,0,INDEX($D$10:$U$10,$B64)*(1-Assumptions!$C$18)^(I$4-$B64))</f>
        <v>0</v>
      </c>
      <c r="J64" s="27" t="n">
        <f aca="false">IF(J$4&lt;$B64,0,INDEX($D$10:$U$10,$B64)*(1-Assumptions!$C$18)^(J$4-$B64))</f>
        <v>0</v>
      </c>
      <c r="K64" s="27" t="n">
        <f aca="false">IF(K$4&lt;$B64,0,INDEX($D$10:$U$10,$B64)*(1-Assumptions!$C$18)^(K$4-$B64))</f>
        <v>0</v>
      </c>
      <c r="L64" s="27" t="n">
        <f aca="false">IF(L$4&lt;$B64,0,INDEX($D$10:$U$10,$B64)*(1-Assumptions!$C$18)^(L$4-$B64))</f>
        <v>0</v>
      </c>
      <c r="M64" s="27" t="n">
        <f aca="false">IF(M$4&lt;$B64,0,INDEX($D$10:$U$10,$B64)*(1-Assumptions!$C$18)^(M$4-$B64))</f>
        <v>0</v>
      </c>
      <c r="N64" s="27" t="n">
        <f aca="false">IF(N$4&lt;$B64,0,INDEX($D$10:$U$10,$B64)*(1-Assumptions!$C$18)^(N$4-$B64))</f>
        <v>0</v>
      </c>
      <c r="O64" s="27" t="n">
        <f aca="false">IF(O$4&lt;$B64,0,INDEX($D$10:$U$10,$B64)*(1-Assumptions!$C$18)^(O$4-$B64))</f>
        <v>0</v>
      </c>
      <c r="P64" s="27" t="n">
        <f aca="false">IF(P$4&lt;$B64,0,INDEX($D$10:$U$10,$B64)*(1-Assumptions!$C$18)^(P$4-$B64))</f>
        <v>0</v>
      </c>
      <c r="Q64" s="27" t="n">
        <f aca="false">IF(Q$4&lt;$B64,0,INDEX($D$10:$U$10,$B64)*(1-Assumptions!$C$18)^(Q$4-$B64))</f>
        <v>0</v>
      </c>
      <c r="R64" s="27" t="n">
        <f aca="false">IF(R$4&lt;$B64,0,INDEX($D$10:$U$10,$B64)*(1-Assumptions!$C$18)^(R$4-$B64))</f>
        <v>0</v>
      </c>
      <c r="S64" s="27" t="n">
        <f aca="false">IF(S$4&lt;$B64,0,INDEX($D$10:$U$10,$B64)*(1-Assumptions!$C$18)^(S$4-$B64))</f>
        <v>3906.25</v>
      </c>
      <c r="T64" s="27" t="n">
        <f aca="false">IF(T$4&lt;$B64,0,INDEX($D$10:$U$10,$B64)*(1-Assumptions!$C$18)^(T$4-$B64))</f>
        <v>3437.5</v>
      </c>
      <c r="U64" s="27" t="n">
        <f aca="false">IF(U$4&lt;$B64,0,INDEX($D$10:$U$10,$B64)*(1-Assumptions!$C$18)^(U$4-$B64))</f>
        <v>3025</v>
      </c>
    </row>
    <row r="65" customFormat="false" ht="15" hidden="false" customHeight="false" outlineLevel="0" collapsed="false">
      <c r="A65" s="2" t="s">
        <v>282</v>
      </c>
      <c r="B65" s="15" t="n">
        <v>17</v>
      </c>
      <c r="D65" s="27" t="n">
        <f aca="false">IF(D$4&lt;$B65,0,INDEX($D$10:$U$10,$B65)*(1-Assumptions!$C$18)^(D$4-$B65))</f>
        <v>0</v>
      </c>
      <c r="E65" s="27" t="n">
        <f aca="false">IF(E$4&lt;$B65,0,INDEX($D$10:$U$10,$B65)*(1-Assumptions!$C$18)^(E$4-$B65))</f>
        <v>0</v>
      </c>
      <c r="F65" s="27" t="n">
        <f aca="false">IF(F$4&lt;$B65,0,INDEX($D$10:$U$10,$B65)*(1-Assumptions!$C$18)^(F$4-$B65))</f>
        <v>0</v>
      </c>
      <c r="G65" s="27" t="n">
        <f aca="false">IF(G$4&lt;$B65,0,INDEX($D$10:$U$10,$B65)*(1-Assumptions!$C$18)^(G$4-$B65))</f>
        <v>0</v>
      </c>
      <c r="H65" s="27" t="n">
        <f aca="false">IF(H$4&lt;$B65,0,INDEX($D$10:$U$10,$B65)*(1-Assumptions!$C$18)^(H$4-$B65))</f>
        <v>0</v>
      </c>
      <c r="I65" s="27" t="n">
        <f aca="false">IF(I$4&lt;$B65,0,INDEX($D$10:$U$10,$B65)*(1-Assumptions!$C$18)^(I$4-$B65))</f>
        <v>0</v>
      </c>
      <c r="J65" s="27" t="n">
        <f aca="false">IF(J$4&lt;$B65,0,INDEX($D$10:$U$10,$B65)*(1-Assumptions!$C$18)^(J$4-$B65))</f>
        <v>0</v>
      </c>
      <c r="K65" s="27" t="n">
        <f aca="false">IF(K$4&lt;$B65,0,INDEX($D$10:$U$10,$B65)*(1-Assumptions!$C$18)^(K$4-$B65))</f>
        <v>0</v>
      </c>
      <c r="L65" s="27" t="n">
        <f aca="false">IF(L$4&lt;$B65,0,INDEX($D$10:$U$10,$B65)*(1-Assumptions!$C$18)^(L$4-$B65))</f>
        <v>0</v>
      </c>
      <c r="M65" s="27" t="n">
        <f aca="false">IF(M$4&lt;$B65,0,INDEX($D$10:$U$10,$B65)*(1-Assumptions!$C$18)^(M$4-$B65))</f>
        <v>0</v>
      </c>
      <c r="N65" s="27" t="n">
        <f aca="false">IF(N$4&lt;$B65,0,INDEX($D$10:$U$10,$B65)*(1-Assumptions!$C$18)^(N$4-$B65))</f>
        <v>0</v>
      </c>
      <c r="O65" s="27" t="n">
        <f aca="false">IF(O$4&lt;$B65,0,INDEX($D$10:$U$10,$B65)*(1-Assumptions!$C$18)^(O$4-$B65))</f>
        <v>0</v>
      </c>
      <c r="P65" s="27" t="n">
        <f aca="false">IF(P$4&lt;$B65,0,INDEX($D$10:$U$10,$B65)*(1-Assumptions!$C$18)^(P$4-$B65))</f>
        <v>0</v>
      </c>
      <c r="Q65" s="27" t="n">
        <f aca="false">IF(Q$4&lt;$B65,0,INDEX($D$10:$U$10,$B65)*(1-Assumptions!$C$18)^(Q$4-$B65))</f>
        <v>0</v>
      </c>
      <c r="R65" s="27" t="n">
        <f aca="false">IF(R$4&lt;$B65,0,INDEX($D$10:$U$10,$B65)*(1-Assumptions!$C$18)^(R$4-$B65))</f>
        <v>0</v>
      </c>
      <c r="S65" s="27" t="n">
        <f aca="false">IF(S$4&lt;$B65,0,INDEX($D$10:$U$10,$B65)*(1-Assumptions!$C$18)^(S$4-$B65))</f>
        <v>0</v>
      </c>
      <c r="T65" s="27" t="n">
        <f aca="false">IF(T$4&lt;$B65,0,INDEX($D$10:$U$10,$B65)*(1-Assumptions!$C$18)^(T$4-$B65))</f>
        <v>3125</v>
      </c>
      <c r="U65" s="27" t="n">
        <f aca="false">IF(U$4&lt;$B65,0,INDEX($D$10:$U$10,$B65)*(1-Assumptions!$C$18)^(U$4-$B65))</f>
        <v>2750</v>
      </c>
    </row>
    <row r="66" customFormat="false" ht="15" hidden="false" customHeight="false" outlineLevel="0" collapsed="false">
      <c r="A66" s="2" t="s">
        <v>283</v>
      </c>
      <c r="B66" s="15" t="n">
        <v>18</v>
      </c>
      <c r="D66" s="27" t="n">
        <f aca="false">IF(D$4&lt;$B66,0,INDEX($D$10:$U$10,$B66)*(1-Assumptions!$C$18)^(D$4-$B66))</f>
        <v>0</v>
      </c>
      <c r="E66" s="27" t="n">
        <f aca="false">IF(E$4&lt;$B66,0,INDEX($D$10:$U$10,$B66)*(1-Assumptions!$C$18)^(E$4-$B66))</f>
        <v>0</v>
      </c>
      <c r="F66" s="27" t="n">
        <f aca="false">IF(F$4&lt;$B66,0,INDEX($D$10:$U$10,$B66)*(1-Assumptions!$C$18)^(F$4-$B66))</f>
        <v>0</v>
      </c>
      <c r="G66" s="27" t="n">
        <f aca="false">IF(G$4&lt;$B66,0,INDEX($D$10:$U$10,$B66)*(1-Assumptions!$C$18)^(G$4-$B66))</f>
        <v>0</v>
      </c>
      <c r="H66" s="27" t="n">
        <f aca="false">IF(H$4&lt;$B66,0,INDEX($D$10:$U$10,$B66)*(1-Assumptions!$C$18)^(H$4-$B66))</f>
        <v>0</v>
      </c>
      <c r="I66" s="27" t="n">
        <f aca="false">IF(I$4&lt;$B66,0,INDEX($D$10:$U$10,$B66)*(1-Assumptions!$C$18)^(I$4-$B66))</f>
        <v>0</v>
      </c>
      <c r="J66" s="27" t="n">
        <f aca="false">IF(J$4&lt;$B66,0,INDEX($D$10:$U$10,$B66)*(1-Assumptions!$C$18)^(J$4-$B66))</f>
        <v>0</v>
      </c>
      <c r="K66" s="27" t="n">
        <f aca="false">IF(K$4&lt;$B66,0,INDEX($D$10:$U$10,$B66)*(1-Assumptions!$C$18)^(K$4-$B66))</f>
        <v>0</v>
      </c>
      <c r="L66" s="27" t="n">
        <f aca="false">IF(L$4&lt;$B66,0,INDEX($D$10:$U$10,$B66)*(1-Assumptions!$C$18)^(L$4-$B66))</f>
        <v>0</v>
      </c>
      <c r="M66" s="27" t="n">
        <f aca="false">IF(M$4&lt;$B66,0,INDEX($D$10:$U$10,$B66)*(1-Assumptions!$C$18)^(M$4-$B66))</f>
        <v>0</v>
      </c>
      <c r="N66" s="27" t="n">
        <f aca="false">IF(N$4&lt;$B66,0,INDEX($D$10:$U$10,$B66)*(1-Assumptions!$C$18)^(N$4-$B66))</f>
        <v>0</v>
      </c>
      <c r="O66" s="27" t="n">
        <f aca="false">IF(O$4&lt;$B66,0,INDEX($D$10:$U$10,$B66)*(1-Assumptions!$C$18)^(O$4-$B66))</f>
        <v>0</v>
      </c>
      <c r="P66" s="27" t="n">
        <f aca="false">IF(P$4&lt;$B66,0,INDEX($D$10:$U$10,$B66)*(1-Assumptions!$C$18)^(P$4-$B66))</f>
        <v>0</v>
      </c>
      <c r="Q66" s="27" t="n">
        <f aca="false">IF(Q$4&lt;$B66,0,INDEX($D$10:$U$10,$B66)*(1-Assumptions!$C$18)^(Q$4-$B66))</f>
        <v>0</v>
      </c>
      <c r="R66" s="27" t="n">
        <f aca="false">IF(R$4&lt;$B66,0,INDEX($D$10:$U$10,$B66)*(1-Assumptions!$C$18)^(R$4-$B66))</f>
        <v>0</v>
      </c>
      <c r="S66" s="27" t="n">
        <f aca="false">IF(S$4&lt;$B66,0,INDEX($D$10:$U$10,$B66)*(1-Assumptions!$C$18)^(S$4-$B66))</f>
        <v>0</v>
      </c>
      <c r="T66" s="27" t="n">
        <f aca="false">IF(T$4&lt;$B66,0,INDEX($D$10:$U$10,$B66)*(1-Assumptions!$C$18)^(T$4-$B66))</f>
        <v>0</v>
      </c>
      <c r="U66" s="27" t="n">
        <f aca="false">IF(U$4&lt;$B66,0,INDEX($D$10:$U$10,$B66)*(1-Assumptions!$C$18)^(U$4-$B66))</f>
        <v>3125</v>
      </c>
    </row>
    <row r="69" customFormat="false" ht="15" hidden="false" customHeight="false" outlineLevel="0" collapsed="false">
      <c r="A69" s="6" t="s">
        <v>284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customFormat="false" ht="15" hidden="false" customHeight="false" outlineLevel="0" collapsed="false">
      <c r="A70" s="5" t="s">
        <v>264</v>
      </c>
      <c r="B70" s="5" t="s">
        <v>265</v>
      </c>
      <c r="C70" s="5"/>
      <c r="D70" s="5" t="s">
        <v>195</v>
      </c>
      <c r="E70" s="5" t="s">
        <v>196</v>
      </c>
      <c r="F70" s="5" t="s">
        <v>197</v>
      </c>
      <c r="G70" s="5" t="s">
        <v>198</v>
      </c>
      <c r="H70" s="5" t="s">
        <v>199</v>
      </c>
      <c r="I70" s="5" t="s">
        <v>200</v>
      </c>
      <c r="J70" s="5" t="s">
        <v>201</v>
      </c>
      <c r="K70" s="5" t="s">
        <v>202</v>
      </c>
      <c r="L70" s="5" t="s">
        <v>203</v>
      </c>
      <c r="M70" s="5" t="s">
        <v>204</v>
      </c>
      <c r="N70" s="5" t="s">
        <v>205</v>
      </c>
      <c r="O70" s="5" t="s">
        <v>206</v>
      </c>
      <c r="P70" s="5" t="s">
        <v>207</v>
      </c>
      <c r="Q70" s="5" t="s">
        <v>208</v>
      </c>
      <c r="R70" s="5" t="s">
        <v>209</v>
      </c>
      <c r="S70" s="5" t="s">
        <v>210</v>
      </c>
      <c r="T70" s="5" t="s">
        <v>211</v>
      </c>
      <c r="U70" s="5" t="s">
        <v>212</v>
      </c>
    </row>
    <row r="71" customFormat="false" ht="15" hidden="false" customHeight="false" outlineLevel="0" collapsed="false">
      <c r="A71" s="2" t="s">
        <v>266</v>
      </c>
      <c r="B71" s="15" t="n">
        <v>1</v>
      </c>
      <c r="D71" s="12" t="n">
        <f aca="false">IF(OR(D$4&lt;Assumptions!$C$32,D$4&lt;$B71),0,D49*IF(D$4&gt;=Assumptions!$C$33,INDEX($D$94:$D$111,D$4-MAX($B71,Assumptions!$C$32)+1),INDEX($C$94:$C$111,D$4-MAX($B71,Assumptions!$C$32)+1)))</f>
        <v>0</v>
      </c>
      <c r="E71" s="12" t="n">
        <f aca="false">IF(OR(E$4&lt;Assumptions!$C$32,E$4&lt;$B71),0,E49*IF(E$4&gt;=Assumptions!$C$33,INDEX($D$94:$D$111,E$4-MAX($B71,Assumptions!$C$32)+1),INDEX($C$94:$C$111,E$4-MAX($B71,Assumptions!$C$32)+1)))</f>
        <v>0</v>
      </c>
      <c r="F71" s="12" t="n">
        <f aca="false">IF(OR(F$4&lt;Assumptions!$C$32,F$4&lt;$B71),0,F49*IF(F$4&gt;=Assumptions!$C$33,INDEX($D$94:$D$111,F$4-MAX($B71,Assumptions!$C$32)+1),INDEX($C$94:$C$111,F$4-MAX($B71,Assumptions!$C$32)+1)))</f>
        <v>0</v>
      </c>
      <c r="G71" s="12" t="n">
        <f aca="false">IF(OR(G$4&lt;Assumptions!$C$32,G$4&lt;$B71),0,G49*IF(G$4&gt;=Assumptions!$C$33,INDEX($D$94:$D$111,G$4-MAX($B71,Assumptions!$C$32)+1),INDEX($C$94:$C$111,G$4-MAX($B71,Assumptions!$C$32)+1)))</f>
        <v>0.2662</v>
      </c>
      <c r="H71" s="12" t="n">
        <f aca="false">IF(OR(H$4&lt;Assumptions!$C$32,H$4&lt;$B71),0,H49*IF(H$4&gt;=Assumptions!$C$33,INDEX($D$94:$D$111,H$4-MAX($B71,Assumptions!$C$32)+1),INDEX($C$94:$C$111,H$4-MAX($B71,Assumptions!$C$32)+1)))</f>
        <v>0.468512</v>
      </c>
      <c r="I71" s="12" t="n">
        <f aca="false">IF(OR(I$4&lt;Assumptions!$C$32,I$4&lt;$B71),0,I49*IF(I$4&gt;=Assumptions!$C$33,INDEX($D$94:$D$111,I$4-MAX($B71,Assumptions!$C$32)+1),INDEX($C$94:$C$111,I$4-MAX($B71,Assumptions!$C$32)+1)))</f>
        <v>0.61843584</v>
      </c>
      <c r="J71" s="12" t="n">
        <f aca="false">IF(OR(J$4&lt;Assumptions!$C$32,J$4&lt;$B71),0,J49*IF(J$4&gt;=Assumptions!$C$33,INDEX($D$94:$D$111,J$4-MAX($B71,Assumptions!$C$32)+1),INDEX($C$94:$C$111,J$4-MAX($B71,Assumptions!$C$32)+1)))</f>
        <v>0.907039232</v>
      </c>
      <c r="K71" s="12" t="n">
        <f aca="false">IF(OR(K$4&lt;Assumptions!$C$32,K$4&lt;$B71),0,K49*IF(K$4&gt;=Assumptions!$C$33,INDEX($D$94:$D$111,K$4-MAX($B71,Assumptions!$C$32)+1),INDEX($C$94:$C$111,K$4-MAX($B71,Assumptions!$C$32)+1)))</f>
        <v>0.8141584146432</v>
      </c>
      <c r="L71" s="12" t="n">
        <f aca="false">IF(OR(L$4&lt;Assumptions!$C$32,L$4&lt;$B71),0,L49*IF(L$4&gt;=Assumptions!$C$33,INDEX($D$94:$D$111,L$4-MAX($B71,Assumptions!$C$32)+1),INDEX($C$94:$C$111,L$4-MAX($B71,Assumptions!$C$32)+1)))</f>
        <v>0.716459404886016</v>
      </c>
      <c r="M71" s="12" t="n">
        <f aca="false">IF(OR(M$4&lt;Assumptions!$C$32,M$4&lt;$B71),0,M49*IF(M$4&gt;=Assumptions!$C$33,INDEX($D$94:$D$111,M$4-MAX($B71,Assumptions!$C$32)+1),INDEX($C$94:$C$111,M$4-MAX($B71,Assumptions!$C$32)+1)))</f>
        <v>0.630484276299694</v>
      </c>
      <c r="N71" s="12" t="n">
        <f aca="false">IF(OR(N$4&lt;Assumptions!$C$32,N$4&lt;$B71),0,N49*IF(N$4&gt;=Assumptions!$C$33,INDEX($D$94:$D$111,N$4-MAX($B71,Assumptions!$C$32)+1),INDEX($C$94:$C$111,N$4-MAX($B71,Assumptions!$C$32)+1)))</f>
        <v>0.576584051894466</v>
      </c>
      <c r="O71" s="12" t="n">
        <f aca="false">IF(OR(O$4&lt;Assumptions!$C$32,O$4&lt;$B71),0,O49*IF(O$4&gt;=Assumptions!$C$33,INDEX($D$94:$D$111,O$4-MAX($B71,Assumptions!$C$32)+1),INDEX($C$94:$C$111,O$4-MAX($B71,Assumptions!$C$32)+1)))</f>
        <v>0.50739396566713</v>
      </c>
      <c r="P71" s="12" t="n">
        <f aca="false">IF(OR(P$4&lt;Assumptions!$C$32,P$4&lt;$B71),0,P49*IF(P$4&gt;=Assumptions!$C$33,INDEX($D$94:$D$111,P$4-MAX($B71,Assumptions!$C$32)+1),INDEX($C$94:$C$111,P$4-MAX($B71,Assumptions!$C$32)+1)))</f>
        <v>0.446506689787074</v>
      </c>
      <c r="Q71" s="12" t="n">
        <f aca="false">IF(OR(Q$4&lt;Assumptions!$C$32,Q$4&lt;$B71),0,Q49*IF(Q$4&gt;=Assumptions!$C$33,INDEX($D$94:$D$111,Q$4-MAX($B71,Assumptions!$C$32)+1),INDEX($C$94:$C$111,Q$4-MAX($B71,Assumptions!$C$32)+1)))</f>
        <v>0.392925887012625</v>
      </c>
      <c r="R71" s="12" t="n">
        <f aca="false">IF(OR(R$4&lt;Assumptions!$C$32,R$4&lt;$B71),0,R49*IF(R$4&gt;=Assumptions!$C$33,INDEX($D$94:$D$111,R$4-MAX($B71,Assumptions!$C$32)+1),INDEX($C$94:$C$111,R$4-MAX($B71,Assumptions!$C$32)+1)))</f>
        <v>0.34577478057111</v>
      </c>
      <c r="S71" s="12" t="n">
        <f aca="false">IF(OR(S$4&lt;Assumptions!$C$32,S$4&lt;$B71),0,S49*IF(S$4&gt;=Assumptions!$C$33,INDEX($D$94:$D$111,S$4-MAX($B71,Assumptions!$C$32)+1),INDEX($C$94:$C$111,S$4-MAX($B71,Assumptions!$C$32)+1)))</f>
        <v>0.304281806902577</v>
      </c>
      <c r="T71" s="12" t="n">
        <f aca="false">IF(OR(T$4&lt;Assumptions!$C$32,T$4&lt;$B71),0,T49*IF(T$4&gt;=Assumptions!$C$33,INDEX($D$94:$D$111,T$4-MAX($B71,Assumptions!$C$32)+1),INDEX($C$94:$C$111,T$4-MAX($B71,Assumptions!$C$32)+1)))</f>
        <v>0.267767990074268</v>
      </c>
      <c r="U71" s="12" t="n">
        <f aca="false">IF(OR(U$4&lt;Assumptions!$C$32,U$4&lt;$B71),0,U49*IF(U$4&gt;=Assumptions!$C$33,INDEX($D$94:$D$111,U$4-MAX($B71,Assumptions!$C$32)+1),INDEX($C$94:$C$111,U$4-MAX($B71,Assumptions!$C$32)+1)))</f>
        <v>0.235635831265356</v>
      </c>
    </row>
    <row r="72" customFormat="false" ht="15" hidden="false" customHeight="false" outlineLevel="0" collapsed="false">
      <c r="A72" s="2" t="s">
        <v>267</v>
      </c>
      <c r="B72" s="15" t="n">
        <v>2</v>
      </c>
      <c r="D72" s="12" t="n">
        <f aca="false">IF(OR(D$4&lt;Assumptions!$C$32,D$4&lt;$B72),0,D50*IF(D$4&gt;=Assumptions!$C$33,INDEX($D$94:$D$111,D$4-MAX($B72,Assumptions!$C$32)+1),INDEX($C$94:$C$111,D$4-MAX($B72,Assumptions!$C$32)+1)))</f>
        <v>0</v>
      </c>
      <c r="E72" s="12" t="n">
        <f aca="false">IF(OR(E$4&lt;Assumptions!$C$32,E$4&lt;$B72),0,E50*IF(E$4&gt;=Assumptions!$C$33,INDEX($D$94:$D$111,E$4-MAX($B72,Assumptions!$C$32)+1),INDEX($C$94:$C$111,E$4-MAX($B72,Assumptions!$C$32)+1)))</f>
        <v>0</v>
      </c>
      <c r="F72" s="12" t="n">
        <f aca="false">IF(OR(F$4&lt;Assumptions!$C$32,F$4&lt;$B72),0,F50*IF(F$4&gt;=Assumptions!$C$33,INDEX($D$94:$D$111,F$4-MAX($B72,Assumptions!$C$32)+1),INDEX($C$94:$C$111,F$4-MAX($B72,Assumptions!$C$32)+1)))</f>
        <v>0</v>
      </c>
      <c r="G72" s="12" t="n">
        <f aca="false">IF(OR(G$4&lt;Assumptions!$C$32,G$4&lt;$B72),0,G50*IF(G$4&gt;=Assumptions!$C$33,INDEX($D$94:$D$111,G$4-MAX($B72,Assumptions!$C$32)+1),INDEX($C$94:$C$111,G$4-MAX($B72,Assumptions!$C$32)+1)))</f>
        <v>0.45375</v>
      </c>
      <c r="H72" s="12" t="n">
        <f aca="false">IF(OR(H$4&lt;Assumptions!$C$32,H$4&lt;$B72),0,H50*IF(H$4&gt;=Assumptions!$C$33,INDEX($D$94:$D$111,H$4-MAX($B72,Assumptions!$C$32)+1),INDEX($C$94:$C$111,H$4-MAX($B72,Assumptions!$C$32)+1)))</f>
        <v>0.7986</v>
      </c>
      <c r="I72" s="12" t="n">
        <f aca="false">IF(OR(I$4&lt;Assumptions!$C$32,I$4&lt;$B72),0,I50*IF(I$4&gt;=Assumptions!$C$33,INDEX($D$94:$D$111,I$4-MAX($B72,Assumptions!$C$32)+1),INDEX($C$94:$C$111,I$4-MAX($B72,Assumptions!$C$32)+1)))</f>
        <v>1.054152</v>
      </c>
      <c r="J72" s="12" t="n">
        <f aca="false">IF(OR(J$4&lt;Assumptions!$C$32,J$4&lt;$B72),0,J50*IF(J$4&gt;=Assumptions!$C$33,INDEX($D$94:$D$111,J$4-MAX($B72,Assumptions!$C$32)+1),INDEX($C$94:$C$111,J$4-MAX($B72,Assumptions!$C$32)+1)))</f>
        <v>1.5460896</v>
      </c>
      <c r="K72" s="12" t="n">
        <f aca="false">IF(OR(K$4&lt;Assumptions!$C$32,K$4&lt;$B72),0,K50*IF(K$4&gt;=Assumptions!$C$33,INDEX($D$94:$D$111,K$4-MAX($B72,Assumptions!$C$32)+1),INDEX($C$94:$C$111,K$4-MAX($B72,Assumptions!$C$32)+1)))</f>
        <v>1.38777002496</v>
      </c>
      <c r="L72" s="12" t="n">
        <f aca="false">IF(OR(L$4&lt;Assumptions!$C$32,L$4&lt;$B72),0,L50*IF(L$4&gt;=Assumptions!$C$33,INDEX($D$94:$D$111,L$4-MAX($B72,Assumptions!$C$32)+1),INDEX($C$94:$C$111,L$4-MAX($B72,Assumptions!$C$32)+1)))</f>
        <v>1.2212376219648</v>
      </c>
      <c r="M72" s="12" t="n">
        <f aca="false">IF(OR(M$4&lt;Assumptions!$C$32,M$4&lt;$B72),0,M50*IF(M$4&gt;=Assumptions!$C$33,INDEX($D$94:$D$111,M$4-MAX($B72,Assumptions!$C$32)+1),INDEX($C$94:$C$111,M$4-MAX($B72,Assumptions!$C$32)+1)))</f>
        <v>1.07468910732902</v>
      </c>
      <c r="N72" s="12" t="n">
        <f aca="false">IF(OR(N$4&lt;Assumptions!$C$32,N$4&lt;$B72),0,N50*IF(N$4&gt;=Assumptions!$C$33,INDEX($D$94:$D$111,N$4-MAX($B72,Assumptions!$C$32)+1),INDEX($C$94:$C$111,N$4-MAX($B72,Assumptions!$C$32)+1)))</f>
        <v>0.982813724820112</v>
      </c>
      <c r="O72" s="12" t="n">
        <f aca="false">IF(OR(O$4&lt;Assumptions!$C$32,O$4&lt;$B72),0,O50*IF(O$4&gt;=Assumptions!$C$33,INDEX($D$94:$D$111,O$4-MAX($B72,Assumptions!$C$32)+1),INDEX($C$94:$C$111,O$4-MAX($B72,Assumptions!$C$32)+1)))</f>
        <v>0.864876077841698</v>
      </c>
      <c r="P72" s="12" t="n">
        <f aca="false">IF(OR(P$4&lt;Assumptions!$C$32,P$4&lt;$B72),0,P50*IF(P$4&gt;=Assumptions!$C$33,INDEX($D$94:$D$111,P$4-MAX($B72,Assumptions!$C$32)+1),INDEX($C$94:$C$111,P$4-MAX($B72,Assumptions!$C$32)+1)))</f>
        <v>0.761090948500695</v>
      </c>
      <c r="Q72" s="12" t="n">
        <f aca="false">IF(OR(Q$4&lt;Assumptions!$C$32,Q$4&lt;$B72),0,Q50*IF(Q$4&gt;=Assumptions!$C$33,INDEX($D$94:$D$111,Q$4-MAX($B72,Assumptions!$C$32)+1),INDEX($C$94:$C$111,Q$4-MAX($B72,Assumptions!$C$32)+1)))</f>
        <v>0.669760034680611</v>
      </c>
      <c r="R72" s="12" t="n">
        <f aca="false">IF(OR(R$4&lt;Assumptions!$C$32,R$4&lt;$B72),0,R50*IF(R$4&gt;=Assumptions!$C$33,INDEX($D$94:$D$111,R$4-MAX($B72,Assumptions!$C$32)+1),INDEX($C$94:$C$111,R$4-MAX($B72,Assumptions!$C$32)+1)))</f>
        <v>0.589388830518938</v>
      </c>
      <c r="S72" s="12" t="n">
        <f aca="false">IF(OR(S$4&lt;Assumptions!$C$32,S$4&lt;$B72),0,S50*IF(S$4&gt;=Assumptions!$C$33,INDEX($D$94:$D$111,S$4-MAX($B72,Assumptions!$C$32)+1),INDEX($C$94:$C$111,S$4-MAX($B72,Assumptions!$C$32)+1)))</f>
        <v>0.518662170856665</v>
      </c>
      <c r="T72" s="12" t="n">
        <f aca="false">IF(OR(T$4&lt;Assumptions!$C$32,T$4&lt;$B72),0,T50*IF(T$4&gt;=Assumptions!$C$33,INDEX($D$94:$D$111,T$4-MAX($B72,Assumptions!$C$32)+1),INDEX($C$94:$C$111,T$4-MAX($B72,Assumptions!$C$32)+1)))</f>
        <v>0.456422710353865</v>
      </c>
      <c r="U72" s="12" t="n">
        <f aca="false">IF(OR(U$4&lt;Assumptions!$C$32,U$4&lt;$B72),0,U50*IF(U$4&gt;=Assumptions!$C$33,INDEX($D$94:$D$111,U$4-MAX($B72,Assumptions!$C$32)+1),INDEX($C$94:$C$111,U$4-MAX($B72,Assumptions!$C$32)+1)))</f>
        <v>0.401651985111402</v>
      </c>
    </row>
    <row r="73" customFormat="false" ht="15" hidden="false" customHeight="false" outlineLevel="0" collapsed="false">
      <c r="A73" s="2" t="s">
        <v>268</v>
      </c>
      <c r="B73" s="15" t="n">
        <v>3</v>
      </c>
      <c r="D73" s="12" t="n">
        <f aca="false">IF(OR(D$4&lt;Assumptions!$C$32,D$4&lt;$B73),0,D51*IF(D$4&gt;=Assumptions!$C$33,INDEX($D$94:$D$111,D$4-MAX($B73,Assumptions!$C$32)+1),INDEX($C$94:$C$111,D$4-MAX($B73,Assumptions!$C$32)+1)))</f>
        <v>0</v>
      </c>
      <c r="E73" s="12" t="n">
        <f aca="false">IF(OR(E$4&lt;Assumptions!$C$32,E$4&lt;$B73),0,E51*IF(E$4&gt;=Assumptions!$C$33,INDEX($D$94:$D$111,E$4-MAX($B73,Assumptions!$C$32)+1),INDEX($C$94:$C$111,E$4-MAX($B73,Assumptions!$C$32)+1)))</f>
        <v>0</v>
      </c>
      <c r="F73" s="12" t="n">
        <f aca="false">IF(OR(F$4&lt;Assumptions!$C$32,F$4&lt;$B73),0,F51*IF(F$4&gt;=Assumptions!$C$33,INDEX($D$94:$D$111,F$4-MAX($B73,Assumptions!$C$32)+1),INDEX($C$94:$C$111,F$4-MAX($B73,Assumptions!$C$32)+1)))</f>
        <v>0</v>
      </c>
      <c r="G73" s="12" t="n">
        <f aca="false">IF(OR(G$4&lt;Assumptions!$C$32,G$4&lt;$B73),0,G51*IF(G$4&gt;=Assumptions!$C$33,INDEX($D$94:$D$111,G$4-MAX($B73,Assumptions!$C$32)+1),INDEX($C$94:$C$111,G$4-MAX($B73,Assumptions!$C$32)+1)))</f>
        <v>0.6875</v>
      </c>
      <c r="H73" s="12" t="n">
        <f aca="false">IF(OR(H$4&lt;Assumptions!$C$32,H$4&lt;$B73),0,H51*IF(H$4&gt;=Assumptions!$C$33,INDEX($D$94:$D$111,H$4-MAX($B73,Assumptions!$C$32)+1),INDEX($C$94:$C$111,H$4-MAX($B73,Assumptions!$C$32)+1)))</f>
        <v>1.21</v>
      </c>
      <c r="I73" s="12" t="n">
        <f aca="false">IF(OR(I$4&lt;Assumptions!$C$32,I$4&lt;$B73),0,I51*IF(I$4&gt;=Assumptions!$C$33,INDEX($D$94:$D$111,I$4-MAX($B73,Assumptions!$C$32)+1),INDEX($C$94:$C$111,I$4-MAX($B73,Assumptions!$C$32)+1)))</f>
        <v>1.5972</v>
      </c>
      <c r="J73" s="12" t="n">
        <f aca="false">IF(OR(J$4&lt;Assumptions!$C$32,J$4&lt;$B73),0,J51*IF(J$4&gt;=Assumptions!$C$33,INDEX($D$94:$D$111,J$4-MAX($B73,Assumptions!$C$32)+1),INDEX($C$94:$C$111,J$4-MAX($B73,Assumptions!$C$32)+1)))</f>
        <v>2.34256</v>
      </c>
      <c r="K73" s="12" t="n">
        <f aca="false">IF(OR(K$4&lt;Assumptions!$C$32,K$4&lt;$B73),0,K51*IF(K$4&gt;=Assumptions!$C$33,INDEX($D$94:$D$111,K$4-MAX($B73,Assumptions!$C$32)+1),INDEX($C$94:$C$111,K$4-MAX($B73,Assumptions!$C$32)+1)))</f>
        <v>2.102681856</v>
      </c>
      <c r="L73" s="12" t="n">
        <f aca="false">IF(OR(L$4&lt;Assumptions!$C$32,L$4&lt;$B73),0,L51*IF(L$4&gt;=Assumptions!$C$33,INDEX($D$94:$D$111,L$4-MAX($B73,Assumptions!$C$32)+1),INDEX($C$94:$C$111,L$4-MAX($B73,Assumptions!$C$32)+1)))</f>
        <v>1.85036003328</v>
      </c>
      <c r="M73" s="12" t="n">
        <f aca="false">IF(OR(M$4&lt;Assumptions!$C$32,M$4&lt;$B73),0,M51*IF(M$4&gt;=Assumptions!$C$33,INDEX($D$94:$D$111,M$4-MAX($B73,Assumptions!$C$32)+1),INDEX($C$94:$C$111,M$4-MAX($B73,Assumptions!$C$32)+1)))</f>
        <v>1.6283168292864</v>
      </c>
      <c r="N73" s="12" t="n">
        <f aca="false">IF(OR(N$4&lt;Assumptions!$C$32,N$4&lt;$B73),0,N51*IF(N$4&gt;=Assumptions!$C$33,INDEX($D$94:$D$111,N$4-MAX($B73,Assumptions!$C$32)+1),INDEX($C$94:$C$111,N$4-MAX($B73,Assumptions!$C$32)+1)))</f>
        <v>1.4891117042729</v>
      </c>
      <c r="O73" s="12" t="n">
        <f aca="false">IF(OR(O$4&lt;Assumptions!$C$32,O$4&lt;$B73),0,O51*IF(O$4&gt;=Assumptions!$C$33,INDEX($D$94:$D$111,O$4-MAX($B73,Assumptions!$C$32)+1),INDEX($C$94:$C$111,O$4-MAX($B73,Assumptions!$C$32)+1)))</f>
        <v>1.31041829976015</v>
      </c>
      <c r="P73" s="12" t="n">
        <f aca="false">IF(OR(P$4&lt;Assumptions!$C$32,P$4&lt;$B73),0,P51*IF(P$4&gt;=Assumptions!$C$33,INDEX($D$94:$D$111,P$4-MAX($B73,Assumptions!$C$32)+1),INDEX($C$94:$C$111,P$4-MAX($B73,Assumptions!$C$32)+1)))</f>
        <v>1.15316810378893</v>
      </c>
      <c r="Q73" s="12" t="n">
        <f aca="false">IF(OR(Q$4&lt;Assumptions!$C$32,Q$4&lt;$B73),0,Q51*IF(Q$4&gt;=Assumptions!$C$33,INDEX($D$94:$D$111,Q$4-MAX($B73,Assumptions!$C$32)+1),INDEX($C$94:$C$111,Q$4-MAX($B73,Assumptions!$C$32)+1)))</f>
        <v>1.01478793133426</v>
      </c>
      <c r="R73" s="12" t="n">
        <f aca="false">IF(OR(R$4&lt;Assumptions!$C$32,R$4&lt;$B73),0,R51*IF(R$4&gt;=Assumptions!$C$33,INDEX($D$94:$D$111,R$4-MAX($B73,Assumptions!$C$32)+1),INDEX($C$94:$C$111,R$4-MAX($B73,Assumptions!$C$32)+1)))</f>
        <v>0.893013379574148</v>
      </c>
      <c r="S73" s="12" t="n">
        <f aca="false">IF(OR(S$4&lt;Assumptions!$C$32,S$4&lt;$B73),0,S51*IF(S$4&gt;=Assumptions!$C$33,INDEX($D$94:$D$111,S$4-MAX($B73,Assumptions!$C$32)+1),INDEX($C$94:$C$111,S$4-MAX($B73,Assumptions!$C$32)+1)))</f>
        <v>0.78585177402525</v>
      </c>
      <c r="T73" s="12" t="n">
        <f aca="false">IF(OR(T$4&lt;Assumptions!$C$32,T$4&lt;$B73),0,T51*IF(T$4&gt;=Assumptions!$C$33,INDEX($D$94:$D$111,T$4-MAX($B73,Assumptions!$C$32)+1),INDEX($C$94:$C$111,T$4-MAX($B73,Assumptions!$C$32)+1)))</f>
        <v>0.69154956114222</v>
      </c>
      <c r="U73" s="12" t="n">
        <f aca="false">IF(OR(U$4&lt;Assumptions!$C$32,U$4&lt;$B73),0,U51*IF(U$4&gt;=Assumptions!$C$33,INDEX($D$94:$D$111,U$4-MAX($B73,Assumptions!$C$32)+1),INDEX($C$94:$C$111,U$4-MAX($B73,Assumptions!$C$32)+1)))</f>
        <v>0.608563613805154</v>
      </c>
    </row>
    <row r="74" customFormat="false" ht="15" hidden="false" customHeight="false" outlineLevel="0" collapsed="false">
      <c r="A74" s="2" t="s">
        <v>269</v>
      </c>
      <c r="B74" s="15" t="n">
        <v>4</v>
      </c>
      <c r="D74" s="12" t="n">
        <f aca="false">IF(OR(D$4&lt;Assumptions!$C$32,D$4&lt;$B74),0,D52*IF(D$4&gt;=Assumptions!$C$33,INDEX($D$94:$D$111,D$4-MAX($B74,Assumptions!$C$32)+1),INDEX($C$94:$C$111,D$4-MAX($B74,Assumptions!$C$32)+1)))</f>
        <v>0</v>
      </c>
      <c r="E74" s="12" t="n">
        <f aca="false">IF(OR(E$4&lt;Assumptions!$C$32,E$4&lt;$B74),0,E52*IF(E$4&gt;=Assumptions!$C$33,INDEX($D$94:$D$111,E$4-MAX($B74,Assumptions!$C$32)+1),INDEX($C$94:$C$111,E$4-MAX($B74,Assumptions!$C$32)+1)))</f>
        <v>0</v>
      </c>
      <c r="F74" s="12" t="n">
        <f aca="false">IF(OR(F$4&lt;Assumptions!$C$32,F$4&lt;$B74),0,F52*IF(F$4&gt;=Assumptions!$C$33,INDEX($D$94:$D$111,F$4-MAX($B74,Assumptions!$C$32)+1),INDEX($C$94:$C$111,F$4-MAX($B74,Assumptions!$C$32)+1)))</f>
        <v>0</v>
      </c>
      <c r="G74" s="12" t="n">
        <f aca="false">IF(OR(G$4&lt;Assumptions!$C$32,G$4&lt;$B74),0,G52*IF(G$4&gt;=Assumptions!$C$33,INDEX($D$94:$D$111,G$4-MAX($B74,Assumptions!$C$32)+1),INDEX($C$94:$C$111,G$4-MAX($B74,Assumptions!$C$32)+1)))</f>
        <v>0.9765625</v>
      </c>
      <c r="H74" s="12" t="n">
        <f aca="false">IF(OR(H$4&lt;Assumptions!$C$32,H$4&lt;$B74),0,H52*IF(H$4&gt;=Assumptions!$C$33,INDEX($D$94:$D$111,H$4-MAX($B74,Assumptions!$C$32)+1),INDEX($C$94:$C$111,H$4-MAX($B74,Assumptions!$C$32)+1)))</f>
        <v>1.71875</v>
      </c>
      <c r="I74" s="12" t="n">
        <f aca="false">IF(OR(I$4&lt;Assumptions!$C$32,I$4&lt;$B74),0,I52*IF(I$4&gt;=Assumptions!$C$33,INDEX($D$94:$D$111,I$4-MAX($B74,Assumptions!$C$32)+1),INDEX($C$94:$C$111,I$4-MAX($B74,Assumptions!$C$32)+1)))</f>
        <v>2.26875</v>
      </c>
      <c r="J74" s="12" t="n">
        <f aca="false">IF(OR(J$4&lt;Assumptions!$C$32,J$4&lt;$B74),0,J52*IF(J$4&gt;=Assumptions!$C$33,INDEX($D$94:$D$111,J$4-MAX($B74,Assumptions!$C$32)+1),INDEX($C$94:$C$111,J$4-MAX($B74,Assumptions!$C$32)+1)))</f>
        <v>3.3275</v>
      </c>
      <c r="K74" s="12" t="n">
        <f aca="false">IF(OR(K$4&lt;Assumptions!$C$32,K$4&lt;$B74),0,K52*IF(K$4&gt;=Assumptions!$C$33,INDEX($D$94:$D$111,K$4-MAX($B74,Assumptions!$C$32)+1),INDEX($C$94:$C$111,K$4-MAX($B74,Assumptions!$C$32)+1)))</f>
        <v>2.986764</v>
      </c>
      <c r="L74" s="12" t="n">
        <f aca="false">IF(OR(L$4&lt;Assumptions!$C$32,L$4&lt;$B74),0,L52*IF(L$4&gt;=Assumptions!$C$33,INDEX($D$94:$D$111,L$4-MAX($B74,Assumptions!$C$32)+1),INDEX($C$94:$C$111,L$4-MAX($B74,Assumptions!$C$32)+1)))</f>
        <v>2.62835232</v>
      </c>
      <c r="M74" s="12" t="n">
        <f aca="false">IF(OR(M$4&lt;Assumptions!$C$32,M$4&lt;$B74),0,M52*IF(M$4&gt;=Assumptions!$C$33,INDEX($D$94:$D$111,M$4-MAX($B74,Assumptions!$C$32)+1),INDEX($C$94:$C$111,M$4-MAX($B74,Assumptions!$C$32)+1)))</f>
        <v>2.3129500416</v>
      </c>
      <c r="N74" s="12" t="n">
        <f aca="false">IF(OR(N$4&lt;Assumptions!$C$32,N$4&lt;$B74),0,N52*IF(N$4&gt;=Assumptions!$C$33,INDEX($D$94:$D$111,N$4-MAX($B74,Assumptions!$C$32)+1),INDEX($C$94:$C$111,N$4-MAX($B74,Assumptions!$C$32)+1)))</f>
        <v>2.115215489024</v>
      </c>
      <c r="O74" s="12" t="n">
        <f aca="false">IF(OR(O$4&lt;Assumptions!$C$32,O$4&lt;$B74),0,O52*IF(O$4&gt;=Assumptions!$C$33,INDEX($D$94:$D$111,O$4-MAX($B74,Assumptions!$C$32)+1),INDEX($C$94:$C$111,O$4-MAX($B74,Assumptions!$C$32)+1)))</f>
        <v>1.86138963034112</v>
      </c>
      <c r="P74" s="12" t="n">
        <f aca="false">IF(OR(P$4&lt;Assumptions!$C$32,P$4&lt;$B74),0,P52*IF(P$4&gt;=Assumptions!$C$33,INDEX($D$94:$D$111,P$4-MAX($B74,Assumptions!$C$32)+1),INDEX($C$94:$C$111,P$4-MAX($B74,Assumptions!$C$32)+1)))</f>
        <v>1.63802287470019</v>
      </c>
      <c r="Q74" s="12" t="n">
        <f aca="false">IF(OR(Q$4&lt;Assumptions!$C$32,Q$4&lt;$B74),0,Q52*IF(Q$4&gt;=Assumptions!$C$33,INDEX($D$94:$D$111,Q$4-MAX($B74,Assumptions!$C$32)+1),INDEX($C$94:$C$111,Q$4-MAX($B74,Assumptions!$C$32)+1)))</f>
        <v>1.44146012973616</v>
      </c>
      <c r="R74" s="12" t="n">
        <f aca="false">IF(OR(R$4&lt;Assumptions!$C$32,R$4&lt;$B74),0,R52*IF(R$4&gt;=Assumptions!$C$33,INDEX($D$94:$D$111,R$4-MAX($B74,Assumptions!$C$32)+1),INDEX($C$94:$C$111,R$4-MAX($B74,Assumptions!$C$32)+1)))</f>
        <v>1.26848491416782</v>
      </c>
      <c r="S74" s="12" t="n">
        <f aca="false">IF(OR(S$4&lt;Assumptions!$C$32,S$4&lt;$B74),0,S52*IF(S$4&gt;=Assumptions!$C$33,INDEX($D$94:$D$111,S$4-MAX($B74,Assumptions!$C$32)+1),INDEX($C$94:$C$111,S$4-MAX($B74,Assumptions!$C$32)+1)))</f>
        <v>1.11626672446769</v>
      </c>
      <c r="T74" s="12" t="n">
        <f aca="false">IF(OR(T$4&lt;Assumptions!$C$32,T$4&lt;$B74),0,T52*IF(T$4&gt;=Assumptions!$C$33,INDEX($D$94:$D$111,T$4-MAX($B74,Assumptions!$C$32)+1),INDEX($C$94:$C$111,T$4-MAX($B74,Assumptions!$C$32)+1)))</f>
        <v>0.982314717531563</v>
      </c>
      <c r="U74" s="12" t="n">
        <f aca="false">IF(OR(U$4&lt;Assumptions!$C$32,U$4&lt;$B74),0,U52*IF(U$4&gt;=Assumptions!$C$33,INDEX($D$94:$D$111,U$4-MAX($B74,Assumptions!$C$32)+1),INDEX($C$94:$C$111,U$4-MAX($B74,Assumptions!$C$32)+1)))</f>
        <v>0.864436951427775</v>
      </c>
    </row>
    <row r="75" customFormat="false" ht="15" hidden="false" customHeight="false" outlineLevel="0" collapsed="false">
      <c r="A75" s="2" t="s">
        <v>270</v>
      </c>
      <c r="B75" s="15" t="n">
        <v>5</v>
      </c>
      <c r="D75" s="12" t="n">
        <f aca="false">IF(OR(D$4&lt;Assumptions!$C$32,D$4&lt;$B75),0,D53*IF(D$4&gt;=Assumptions!$C$33,INDEX($D$94:$D$111,D$4-MAX($B75,Assumptions!$C$32)+1),INDEX($C$94:$C$111,D$4-MAX($B75,Assumptions!$C$32)+1)))</f>
        <v>0</v>
      </c>
      <c r="E75" s="12" t="n">
        <f aca="false">IF(OR(E$4&lt;Assumptions!$C$32,E$4&lt;$B75),0,E53*IF(E$4&gt;=Assumptions!$C$33,INDEX($D$94:$D$111,E$4-MAX($B75,Assumptions!$C$32)+1),INDEX($C$94:$C$111,E$4-MAX($B75,Assumptions!$C$32)+1)))</f>
        <v>0</v>
      </c>
      <c r="F75" s="12" t="n">
        <f aca="false">IF(OR(F$4&lt;Assumptions!$C$32,F$4&lt;$B75),0,F53*IF(F$4&gt;=Assumptions!$C$33,INDEX($D$94:$D$111,F$4-MAX($B75,Assumptions!$C$32)+1),INDEX($C$94:$C$111,F$4-MAX($B75,Assumptions!$C$32)+1)))</f>
        <v>0</v>
      </c>
      <c r="G75" s="12" t="n">
        <f aca="false">IF(OR(G$4&lt;Assumptions!$C$32,G$4&lt;$B75),0,G53*IF(G$4&gt;=Assumptions!$C$33,INDEX($D$94:$D$111,G$4-MAX($B75,Assumptions!$C$32)+1),INDEX($C$94:$C$111,G$4-MAX($B75,Assumptions!$C$32)+1)))</f>
        <v>0</v>
      </c>
      <c r="H75" s="12" t="n">
        <f aca="false">IF(OR(H$4&lt;Assumptions!$C$32,H$4&lt;$B75),0,H53*IF(H$4&gt;=Assumptions!$C$33,INDEX($D$94:$D$111,H$4-MAX($B75,Assumptions!$C$32)+1),INDEX($C$94:$C$111,H$4-MAX($B75,Assumptions!$C$32)+1)))</f>
        <v>1.171875</v>
      </c>
      <c r="I75" s="12" t="n">
        <f aca="false">IF(OR(I$4&lt;Assumptions!$C$32,I$4&lt;$B75),0,I53*IF(I$4&gt;=Assumptions!$C$33,INDEX($D$94:$D$111,I$4-MAX($B75,Assumptions!$C$32)+1),INDEX($C$94:$C$111,I$4-MAX($B75,Assumptions!$C$32)+1)))</f>
        <v>2.0625</v>
      </c>
      <c r="J75" s="12" t="n">
        <f aca="false">IF(OR(J$4&lt;Assumptions!$C$32,J$4&lt;$B75),0,J53*IF(J$4&gt;=Assumptions!$C$33,INDEX($D$94:$D$111,J$4-MAX($B75,Assumptions!$C$32)+1),INDEX($C$94:$C$111,J$4-MAX($B75,Assumptions!$C$32)+1)))</f>
        <v>2.7225</v>
      </c>
      <c r="K75" s="12" t="n">
        <f aca="false">IF(OR(K$4&lt;Assumptions!$C$32,K$4&lt;$B75),0,K53*IF(K$4&gt;=Assumptions!$C$33,INDEX($D$94:$D$111,K$4-MAX($B75,Assumptions!$C$32)+1),INDEX($C$94:$C$111,K$4-MAX($B75,Assumptions!$C$32)+1)))</f>
        <v>3.993</v>
      </c>
      <c r="L75" s="12" t="n">
        <f aca="false">IF(OR(L$4&lt;Assumptions!$C$32,L$4&lt;$B75),0,L53*IF(L$4&gt;=Assumptions!$C$33,INDEX($D$94:$D$111,L$4-MAX($B75,Assumptions!$C$32)+1),INDEX($C$94:$C$111,L$4-MAX($B75,Assumptions!$C$32)+1)))</f>
        <v>3.5841168</v>
      </c>
      <c r="M75" s="12" t="n">
        <f aca="false">IF(OR(M$4&lt;Assumptions!$C$32,M$4&lt;$B75),0,M53*IF(M$4&gt;=Assumptions!$C$33,INDEX($D$94:$D$111,M$4-MAX($B75,Assumptions!$C$32)+1),INDEX($C$94:$C$111,M$4-MAX($B75,Assumptions!$C$32)+1)))</f>
        <v>3.154022784</v>
      </c>
      <c r="N75" s="12" t="n">
        <f aca="false">IF(OR(N$4&lt;Assumptions!$C$32,N$4&lt;$B75),0,N53*IF(N$4&gt;=Assumptions!$C$33,INDEX($D$94:$D$111,N$4-MAX($B75,Assumptions!$C$32)+1),INDEX($C$94:$C$111,N$4-MAX($B75,Assumptions!$C$32)+1)))</f>
        <v>2.77554004992</v>
      </c>
      <c r="O75" s="12" t="n">
        <f aca="false">IF(OR(O$4&lt;Assumptions!$C$32,O$4&lt;$B75),0,O53*IF(O$4&gt;=Assumptions!$C$33,INDEX($D$94:$D$111,O$4-MAX($B75,Assumptions!$C$32)+1),INDEX($C$94:$C$111,O$4-MAX($B75,Assumptions!$C$32)+1)))</f>
        <v>2.5382585868288</v>
      </c>
      <c r="P75" s="12" t="n">
        <f aca="false">IF(OR(P$4&lt;Assumptions!$C$32,P$4&lt;$B75),0,P53*IF(P$4&gt;=Assumptions!$C$33,INDEX($D$94:$D$111,P$4-MAX($B75,Assumptions!$C$32)+1),INDEX($C$94:$C$111,P$4-MAX($B75,Assumptions!$C$32)+1)))</f>
        <v>2.23366755640934</v>
      </c>
      <c r="Q75" s="12" t="n">
        <f aca="false">IF(OR(Q$4&lt;Assumptions!$C$32,Q$4&lt;$B75),0,Q53*IF(Q$4&gt;=Assumptions!$C$33,INDEX($D$94:$D$111,Q$4-MAX($B75,Assumptions!$C$32)+1),INDEX($C$94:$C$111,Q$4-MAX($B75,Assumptions!$C$32)+1)))</f>
        <v>1.96562744964022</v>
      </c>
      <c r="R75" s="12" t="n">
        <f aca="false">IF(OR(R$4&lt;Assumptions!$C$32,R$4&lt;$B75),0,R53*IF(R$4&gt;=Assumptions!$C$33,INDEX($D$94:$D$111,R$4-MAX($B75,Assumptions!$C$32)+1),INDEX($C$94:$C$111,R$4-MAX($B75,Assumptions!$C$32)+1)))</f>
        <v>1.7297521556834</v>
      </c>
      <c r="S75" s="12" t="n">
        <f aca="false">IF(OR(S$4&lt;Assumptions!$C$32,S$4&lt;$B75),0,S53*IF(S$4&gt;=Assumptions!$C$33,INDEX($D$94:$D$111,S$4-MAX($B75,Assumptions!$C$32)+1),INDEX($C$94:$C$111,S$4-MAX($B75,Assumptions!$C$32)+1)))</f>
        <v>1.52218189700139</v>
      </c>
      <c r="T75" s="12" t="n">
        <f aca="false">IF(OR(T$4&lt;Assumptions!$C$32,T$4&lt;$B75),0,T53*IF(T$4&gt;=Assumptions!$C$33,INDEX($D$94:$D$111,T$4-MAX($B75,Assumptions!$C$32)+1),INDEX($C$94:$C$111,T$4-MAX($B75,Assumptions!$C$32)+1)))</f>
        <v>1.33952006936122</v>
      </c>
      <c r="U75" s="12" t="n">
        <f aca="false">IF(OR(U$4&lt;Assumptions!$C$32,U$4&lt;$B75),0,U53*IF(U$4&gt;=Assumptions!$C$33,INDEX($D$94:$D$111,U$4-MAX($B75,Assumptions!$C$32)+1),INDEX($C$94:$C$111,U$4-MAX($B75,Assumptions!$C$32)+1)))</f>
        <v>1.17877766103788</v>
      </c>
    </row>
    <row r="76" customFormat="false" ht="15" hidden="false" customHeight="false" outlineLevel="0" collapsed="false">
      <c r="A76" s="2" t="s">
        <v>271</v>
      </c>
      <c r="B76" s="15" t="n">
        <v>6</v>
      </c>
      <c r="D76" s="12" t="n">
        <f aca="false">IF(OR(D$4&lt;Assumptions!$C$32,D$4&lt;$B76),0,D54*IF(D$4&gt;=Assumptions!$C$33,INDEX($D$94:$D$111,D$4-MAX($B76,Assumptions!$C$32)+1),INDEX($C$94:$C$111,D$4-MAX($B76,Assumptions!$C$32)+1)))</f>
        <v>0</v>
      </c>
      <c r="E76" s="12" t="n">
        <f aca="false">IF(OR(E$4&lt;Assumptions!$C$32,E$4&lt;$B76),0,E54*IF(E$4&gt;=Assumptions!$C$33,INDEX($D$94:$D$111,E$4-MAX($B76,Assumptions!$C$32)+1),INDEX($C$94:$C$111,E$4-MAX($B76,Assumptions!$C$32)+1)))</f>
        <v>0</v>
      </c>
      <c r="F76" s="12" t="n">
        <f aca="false">IF(OR(F$4&lt;Assumptions!$C$32,F$4&lt;$B76),0,F54*IF(F$4&gt;=Assumptions!$C$33,INDEX($D$94:$D$111,F$4-MAX($B76,Assumptions!$C$32)+1),INDEX($C$94:$C$111,F$4-MAX($B76,Assumptions!$C$32)+1)))</f>
        <v>0</v>
      </c>
      <c r="G76" s="12" t="n">
        <f aca="false">IF(OR(G$4&lt;Assumptions!$C$32,G$4&lt;$B76),0,G54*IF(G$4&gt;=Assumptions!$C$33,INDEX($D$94:$D$111,G$4-MAX($B76,Assumptions!$C$32)+1),INDEX($C$94:$C$111,G$4-MAX($B76,Assumptions!$C$32)+1)))</f>
        <v>0</v>
      </c>
      <c r="H76" s="12" t="n">
        <f aca="false">IF(OR(H$4&lt;Assumptions!$C$32,H$4&lt;$B76),0,H54*IF(H$4&gt;=Assumptions!$C$33,INDEX($D$94:$D$111,H$4-MAX($B76,Assumptions!$C$32)+1),INDEX($C$94:$C$111,H$4-MAX($B76,Assumptions!$C$32)+1)))</f>
        <v>0</v>
      </c>
      <c r="I76" s="12" t="n">
        <f aca="false">IF(OR(I$4&lt;Assumptions!$C$32,I$4&lt;$B76),0,I54*IF(I$4&gt;=Assumptions!$C$33,INDEX($D$94:$D$111,I$4-MAX($B76,Assumptions!$C$32)+1),INDEX($C$94:$C$111,I$4-MAX($B76,Assumptions!$C$32)+1)))</f>
        <v>1.3671875</v>
      </c>
      <c r="J76" s="12" t="n">
        <f aca="false">IF(OR(J$4&lt;Assumptions!$C$32,J$4&lt;$B76),0,J54*IF(J$4&gt;=Assumptions!$C$33,INDEX($D$94:$D$111,J$4-MAX($B76,Assumptions!$C$32)+1),INDEX($C$94:$C$111,J$4-MAX($B76,Assumptions!$C$32)+1)))</f>
        <v>2.40625</v>
      </c>
      <c r="K76" s="12" t="n">
        <f aca="false">IF(OR(K$4&lt;Assumptions!$C$32,K$4&lt;$B76),0,K54*IF(K$4&gt;=Assumptions!$C$33,INDEX($D$94:$D$111,K$4-MAX($B76,Assumptions!$C$32)+1),INDEX($C$94:$C$111,K$4-MAX($B76,Assumptions!$C$32)+1)))</f>
        <v>3.17625</v>
      </c>
      <c r="L76" s="12" t="n">
        <f aca="false">IF(OR(L$4&lt;Assumptions!$C$32,L$4&lt;$B76),0,L54*IF(L$4&gt;=Assumptions!$C$33,INDEX($D$94:$D$111,L$4-MAX($B76,Assumptions!$C$32)+1),INDEX($C$94:$C$111,L$4-MAX($B76,Assumptions!$C$32)+1)))</f>
        <v>4.6585</v>
      </c>
      <c r="M76" s="12" t="n">
        <f aca="false">IF(OR(M$4&lt;Assumptions!$C$32,M$4&lt;$B76),0,M54*IF(M$4&gt;=Assumptions!$C$33,INDEX($D$94:$D$111,M$4-MAX($B76,Assumptions!$C$32)+1),INDEX($C$94:$C$111,M$4-MAX($B76,Assumptions!$C$32)+1)))</f>
        <v>4.1814696</v>
      </c>
      <c r="N76" s="12" t="n">
        <f aca="false">IF(OR(N$4&lt;Assumptions!$C$32,N$4&lt;$B76),0,N54*IF(N$4&gt;=Assumptions!$C$33,INDEX($D$94:$D$111,N$4-MAX($B76,Assumptions!$C$32)+1),INDEX($C$94:$C$111,N$4-MAX($B76,Assumptions!$C$32)+1)))</f>
        <v>3.679693248</v>
      </c>
      <c r="O76" s="12" t="n">
        <f aca="false">IF(OR(O$4&lt;Assumptions!$C$32,O$4&lt;$B76),0,O54*IF(O$4&gt;=Assumptions!$C$33,INDEX($D$94:$D$111,O$4-MAX($B76,Assumptions!$C$32)+1),INDEX($C$94:$C$111,O$4-MAX($B76,Assumptions!$C$32)+1)))</f>
        <v>3.23813005824</v>
      </c>
      <c r="P76" s="12" t="n">
        <f aca="false">IF(OR(P$4&lt;Assumptions!$C$32,P$4&lt;$B76),0,P54*IF(P$4&gt;=Assumptions!$C$33,INDEX($D$94:$D$111,P$4-MAX($B76,Assumptions!$C$32)+1),INDEX($C$94:$C$111,P$4-MAX($B76,Assumptions!$C$32)+1)))</f>
        <v>2.9613016846336</v>
      </c>
      <c r="Q76" s="12" t="n">
        <f aca="false">IF(OR(Q$4&lt;Assumptions!$C$32,Q$4&lt;$B76),0,Q54*IF(Q$4&gt;=Assumptions!$C$33,INDEX($D$94:$D$111,Q$4-MAX($B76,Assumptions!$C$32)+1),INDEX($C$94:$C$111,Q$4-MAX($B76,Assumptions!$C$32)+1)))</f>
        <v>2.60594548247757</v>
      </c>
      <c r="R76" s="12" t="n">
        <f aca="false">IF(OR(R$4&lt;Assumptions!$C$32,R$4&lt;$B76),0,R54*IF(R$4&gt;=Assumptions!$C$33,INDEX($D$94:$D$111,R$4-MAX($B76,Assumptions!$C$32)+1),INDEX($C$94:$C$111,R$4-MAX($B76,Assumptions!$C$32)+1)))</f>
        <v>2.29323202458026</v>
      </c>
      <c r="S76" s="12" t="n">
        <f aca="false">IF(OR(S$4&lt;Assumptions!$C$32,S$4&lt;$B76),0,S54*IF(S$4&gt;=Assumptions!$C$33,INDEX($D$94:$D$111,S$4-MAX($B76,Assumptions!$C$32)+1),INDEX($C$94:$C$111,S$4-MAX($B76,Assumptions!$C$32)+1)))</f>
        <v>2.01804418163063</v>
      </c>
      <c r="T76" s="12" t="n">
        <f aca="false">IF(OR(T$4&lt;Assumptions!$C$32,T$4&lt;$B76),0,T54*IF(T$4&gt;=Assumptions!$C$33,INDEX($D$94:$D$111,T$4-MAX($B76,Assumptions!$C$32)+1),INDEX($C$94:$C$111,T$4-MAX($B76,Assumptions!$C$32)+1)))</f>
        <v>1.77587887983495</v>
      </c>
      <c r="U76" s="12" t="n">
        <f aca="false">IF(OR(U$4&lt;Assumptions!$C$32,U$4&lt;$B76),0,U54*IF(U$4&gt;=Assumptions!$C$33,INDEX($D$94:$D$111,U$4-MAX($B76,Assumptions!$C$32)+1),INDEX($C$94:$C$111,U$4-MAX($B76,Assumptions!$C$32)+1)))</f>
        <v>1.56277341425476</v>
      </c>
    </row>
    <row r="77" customFormat="false" ht="15" hidden="false" customHeight="false" outlineLevel="0" collapsed="false">
      <c r="A77" s="2" t="s">
        <v>272</v>
      </c>
      <c r="B77" s="15" t="n">
        <v>7</v>
      </c>
      <c r="D77" s="12" t="n">
        <f aca="false">IF(OR(D$4&lt;Assumptions!$C$32,D$4&lt;$B77),0,D55*IF(D$4&gt;=Assumptions!$C$33,INDEX($D$94:$D$111,D$4-MAX($B77,Assumptions!$C$32)+1),INDEX($C$94:$C$111,D$4-MAX($B77,Assumptions!$C$32)+1)))</f>
        <v>0</v>
      </c>
      <c r="E77" s="12" t="n">
        <f aca="false">IF(OR(E$4&lt;Assumptions!$C$32,E$4&lt;$B77),0,E55*IF(E$4&gt;=Assumptions!$C$33,INDEX($D$94:$D$111,E$4-MAX($B77,Assumptions!$C$32)+1),INDEX($C$94:$C$111,E$4-MAX($B77,Assumptions!$C$32)+1)))</f>
        <v>0</v>
      </c>
      <c r="F77" s="12" t="n">
        <f aca="false">IF(OR(F$4&lt;Assumptions!$C$32,F$4&lt;$B77),0,F55*IF(F$4&gt;=Assumptions!$C$33,INDEX($D$94:$D$111,F$4-MAX($B77,Assumptions!$C$32)+1),INDEX($C$94:$C$111,F$4-MAX($B77,Assumptions!$C$32)+1)))</f>
        <v>0</v>
      </c>
      <c r="G77" s="12" t="n">
        <f aca="false">IF(OR(G$4&lt;Assumptions!$C$32,G$4&lt;$B77),0,G55*IF(G$4&gt;=Assumptions!$C$33,INDEX($D$94:$D$111,G$4-MAX($B77,Assumptions!$C$32)+1),INDEX($C$94:$C$111,G$4-MAX($B77,Assumptions!$C$32)+1)))</f>
        <v>0</v>
      </c>
      <c r="H77" s="12" t="n">
        <f aca="false">IF(OR(H$4&lt;Assumptions!$C$32,H$4&lt;$B77),0,H55*IF(H$4&gt;=Assumptions!$C$33,INDEX($D$94:$D$111,H$4-MAX($B77,Assumptions!$C$32)+1),INDEX($C$94:$C$111,H$4-MAX($B77,Assumptions!$C$32)+1)))</f>
        <v>0</v>
      </c>
      <c r="I77" s="12" t="n">
        <f aca="false">IF(OR(I$4&lt;Assumptions!$C$32,I$4&lt;$B77),0,I55*IF(I$4&gt;=Assumptions!$C$33,INDEX($D$94:$D$111,I$4-MAX($B77,Assumptions!$C$32)+1),INDEX($C$94:$C$111,I$4-MAX($B77,Assumptions!$C$32)+1)))</f>
        <v>0</v>
      </c>
      <c r="J77" s="12" t="n">
        <f aca="false">IF(OR(J$4&lt;Assumptions!$C$32,J$4&lt;$B77),0,J55*IF(J$4&gt;=Assumptions!$C$33,INDEX($D$94:$D$111,J$4-MAX($B77,Assumptions!$C$32)+1),INDEX($C$94:$C$111,J$4-MAX($B77,Assumptions!$C$32)+1)))</f>
        <v>1.3671875</v>
      </c>
      <c r="K77" s="12" t="n">
        <f aca="false">IF(OR(K$4&lt;Assumptions!$C$32,K$4&lt;$B77),0,K55*IF(K$4&gt;=Assumptions!$C$33,INDEX($D$94:$D$111,K$4-MAX($B77,Assumptions!$C$32)+1),INDEX($C$94:$C$111,K$4-MAX($B77,Assumptions!$C$32)+1)))</f>
        <v>2.40625</v>
      </c>
      <c r="L77" s="12" t="n">
        <f aca="false">IF(OR(L$4&lt;Assumptions!$C$32,L$4&lt;$B77),0,L55*IF(L$4&gt;=Assumptions!$C$33,INDEX($D$94:$D$111,L$4-MAX($B77,Assumptions!$C$32)+1),INDEX($C$94:$C$111,L$4-MAX($B77,Assumptions!$C$32)+1)))</f>
        <v>3.17625</v>
      </c>
      <c r="M77" s="12" t="n">
        <f aca="false">IF(OR(M$4&lt;Assumptions!$C$32,M$4&lt;$B77),0,M55*IF(M$4&gt;=Assumptions!$C$33,INDEX($D$94:$D$111,M$4-MAX($B77,Assumptions!$C$32)+1),INDEX($C$94:$C$111,M$4-MAX($B77,Assumptions!$C$32)+1)))</f>
        <v>4.6585</v>
      </c>
      <c r="N77" s="12" t="n">
        <f aca="false">IF(OR(N$4&lt;Assumptions!$C$32,N$4&lt;$B77),0,N55*IF(N$4&gt;=Assumptions!$C$33,INDEX($D$94:$D$111,N$4-MAX($B77,Assumptions!$C$32)+1),INDEX($C$94:$C$111,N$4-MAX($B77,Assumptions!$C$32)+1)))</f>
        <v>4.1814696</v>
      </c>
      <c r="O77" s="12" t="n">
        <f aca="false">IF(OR(O$4&lt;Assumptions!$C$32,O$4&lt;$B77),0,O55*IF(O$4&gt;=Assumptions!$C$33,INDEX($D$94:$D$111,O$4-MAX($B77,Assumptions!$C$32)+1),INDEX($C$94:$C$111,O$4-MAX($B77,Assumptions!$C$32)+1)))</f>
        <v>3.679693248</v>
      </c>
      <c r="P77" s="12" t="n">
        <f aca="false">IF(OR(P$4&lt;Assumptions!$C$32,P$4&lt;$B77),0,P55*IF(P$4&gt;=Assumptions!$C$33,INDEX($D$94:$D$111,P$4-MAX($B77,Assumptions!$C$32)+1),INDEX($C$94:$C$111,P$4-MAX($B77,Assumptions!$C$32)+1)))</f>
        <v>3.23813005824</v>
      </c>
      <c r="Q77" s="12" t="n">
        <f aca="false">IF(OR(Q$4&lt;Assumptions!$C$32,Q$4&lt;$B77),0,Q55*IF(Q$4&gt;=Assumptions!$C$33,INDEX($D$94:$D$111,Q$4-MAX($B77,Assumptions!$C$32)+1),INDEX($C$94:$C$111,Q$4-MAX($B77,Assumptions!$C$32)+1)))</f>
        <v>2.9613016846336</v>
      </c>
      <c r="R77" s="12" t="n">
        <f aca="false">IF(OR(R$4&lt;Assumptions!$C$32,R$4&lt;$B77),0,R55*IF(R$4&gt;=Assumptions!$C$33,INDEX($D$94:$D$111,R$4-MAX($B77,Assumptions!$C$32)+1),INDEX($C$94:$C$111,R$4-MAX($B77,Assumptions!$C$32)+1)))</f>
        <v>2.60594548247757</v>
      </c>
      <c r="S77" s="12" t="n">
        <f aca="false">IF(OR(S$4&lt;Assumptions!$C$32,S$4&lt;$B77),0,S55*IF(S$4&gt;=Assumptions!$C$33,INDEX($D$94:$D$111,S$4-MAX($B77,Assumptions!$C$32)+1),INDEX($C$94:$C$111,S$4-MAX($B77,Assumptions!$C$32)+1)))</f>
        <v>2.29323202458026</v>
      </c>
      <c r="T77" s="12" t="n">
        <f aca="false">IF(OR(T$4&lt;Assumptions!$C$32,T$4&lt;$B77),0,T55*IF(T$4&gt;=Assumptions!$C$33,INDEX($D$94:$D$111,T$4-MAX($B77,Assumptions!$C$32)+1),INDEX($C$94:$C$111,T$4-MAX($B77,Assumptions!$C$32)+1)))</f>
        <v>2.01804418163063</v>
      </c>
      <c r="U77" s="12" t="n">
        <f aca="false">IF(OR(U$4&lt;Assumptions!$C$32,U$4&lt;$B77),0,U55*IF(U$4&gt;=Assumptions!$C$33,INDEX($D$94:$D$111,U$4-MAX($B77,Assumptions!$C$32)+1),INDEX($C$94:$C$111,U$4-MAX($B77,Assumptions!$C$32)+1)))</f>
        <v>1.77587887983495</v>
      </c>
    </row>
    <row r="78" customFormat="false" ht="15" hidden="false" customHeight="false" outlineLevel="0" collapsed="false">
      <c r="A78" s="2" t="s">
        <v>273</v>
      </c>
      <c r="B78" s="15" t="n">
        <v>8</v>
      </c>
      <c r="D78" s="12" t="n">
        <f aca="false">IF(OR(D$4&lt;Assumptions!$C$32,D$4&lt;$B78),0,D56*IF(D$4&gt;=Assumptions!$C$33,INDEX($D$94:$D$111,D$4-MAX($B78,Assumptions!$C$32)+1),INDEX($C$94:$C$111,D$4-MAX($B78,Assumptions!$C$32)+1)))</f>
        <v>0</v>
      </c>
      <c r="E78" s="12" t="n">
        <f aca="false">IF(OR(E$4&lt;Assumptions!$C$32,E$4&lt;$B78),0,E56*IF(E$4&gt;=Assumptions!$C$33,INDEX($D$94:$D$111,E$4-MAX($B78,Assumptions!$C$32)+1),INDEX($C$94:$C$111,E$4-MAX($B78,Assumptions!$C$32)+1)))</f>
        <v>0</v>
      </c>
      <c r="F78" s="12" t="n">
        <f aca="false">IF(OR(F$4&lt;Assumptions!$C$32,F$4&lt;$B78),0,F56*IF(F$4&gt;=Assumptions!$C$33,INDEX($D$94:$D$111,F$4-MAX($B78,Assumptions!$C$32)+1),INDEX($C$94:$C$111,F$4-MAX($B78,Assumptions!$C$32)+1)))</f>
        <v>0</v>
      </c>
      <c r="G78" s="12" t="n">
        <f aca="false">IF(OR(G$4&lt;Assumptions!$C$32,G$4&lt;$B78),0,G56*IF(G$4&gt;=Assumptions!$C$33,INDEX($D$94:$D$111,G$4-MAX($B78,Assumptions!$C$32)+1),INDEX($C$94:$C$111,G$4-MAX($B78,Assumptions!$C$32)+1)))</f>
        <v>0</v>
      </c>
      <c r="H78" s="12" t="n">
        <f aca="false">IF(OR(H$4&lt;Assumptions!$C$32,H$4&lt;$B78),0,H56*IF(H$4&gt;=Assumptions!$C$33,INDEX($D$94:$D$111,H$4-MAX($B78,Assumptions!$C$32)+1),INDEX($C$94:$C$111,H$4-MAX($B78,Assumptions!$C$32)+1)))</f>
        <v>0</v>
      </c>
      <c r="I78" s="12" t="n">
        <f aca="false">IF(OR(I$4&lt;Assumptions!$C$32,I$4&lt;$B78),0,I56*IF(I$4&gt;=Assumptions!$C$33,INDEX($D$94:$D$111,I$4-MAX($B78,Assumptions!$C$32)+1),INDEX($C$94:$C$111,I$4-MAX($B78,Assumptions!$C$32)+1)))</f>
        <v>0</v>
      </c>
      <c r="J78" s="12" t="n">
        <f aca="false">IF(OR(J$4&lt;Assumptions!$C$32,J$4&lt;$B78),0,J56*IF(J$4&gt;=Assumptions!$C$33,INDEX($D$94:$D$111,J$4-MAX($B78,Assumptions!$C$32)+1),INDEX($C$94:$C$111,J$4-MAX($B78,Assumptions!$C$32)+1)))</f>
        <v>0</v>
      </c>
      <c r="K78" s="12" t="n">
        <f aca="false">IF(OR(K$4&lt;Assumptions!$C$32,K$4&lt;$B78),0,K56*IF(K$4&gt;=Assumptions!$C$33,INDEX($D$94:$D$111,K$4-MAX($B78,Assumptions!$C$32)+1),INDEX($C$94:$C$111,K$4-MAX($B78,Assumptions!$C$32)+1)))</f>
        <v>1.3671875</v>
      </c>
      <c r="L78" s="12" t="n">
        <f aca="false">IF(OR(L$4&lt;Assumptions!$C$32,L$4&lt;$B78),0,L56*IF(L$4&gt;=Assumptions!$C$33,INDEX($D$94:$D$111,L$4-MAX($B78,Assumptions!$C$32)+1),INDEX($C$94:$C$111,L$4-MAX($B78,Assumptions!$C$32)+1)))</f>
        <v>2.40625</v>
      </c>
      <c r="M78" s="12" t="n">
        <f aca="false">IF(OR(M$4&lt;Assumptions!$C$32,M$4&lt;$B78),0,M56*IF(M$4&gt;=Assumptions!$C$33,INDEX($D$94:$D$111,M$4-MAX($B78,Assumptions!$C$32)+1),INDEX($C$94:$C$111,M$4-MAX($B78,Assumptions!$C$32)+1)))</f>
        <v>3.17625</v>
      </c>
      <c r="N78" s="12" t="n">
        <f aca="false">IF(OR(N$4&lt;Assumptions!$C$32,N$4&lt;$B78),0,N56*IF(N$4&gt;=Assumptions!$C$33,INDEX($D$94:$D$111,N$4-MAX($B78,Assumptions!$C$32)+1),INDEX($C$94:$C$111,N$4-MAX($B78,Assumptions!$C$32)+1)))</f>
        <v>4.6585</v>
      </c>
      <c r="O78" s="12" t="n">
        <f aca="false">IF(OR(O$4&lt;Assumptions!$C$32,O$4&lt;$B78),0,O56*IF(O$4&gt;=Assumptions!$C$33,INDEX($D$94:$D$111,O$4-MAX($B78,Assumptions!$C$32)+1),INDEX($C$94:$C$111,O$4-MAX($B78,Assumptions!$C$32)+1)))</f>
        <v>4.1814696</v>
      </c>
      <c r="P78" s="12" t="n">
        <f aca="false">IF(OR(P$4&lt;Assumptions!$C$32,P$4&lt;$B78),0,P56*IF(P$4&gt;=Assumptions!$C$33,INDEX($D$94:$D$111,P$4-MAX($B78,Assumptions!$C$32)+1),INDEX($C$94:$C$111,P$4-MAX($B78,Assumptions!$C$32)+1)))</f>
        <v>3.679693248</v>
      </c>
      <c r="Q78" s="12" t="n">
        <f aca="false">IF(OR(Q$4&lt;Assumptions!$C$32,Q$4&lt;$B78),0,Q56*IF(Q$4&gt;=Assumptions!$C$33,INDEX($D$94:$D$111,Q$4-MAX($B78,Assumptions!$C$32)+1),INDEX($C$94:$C$111,Q$4-MAX($B78,Assumptions!$C$32)+1)))</f>
        <v>3.23813005824</v>
      </c>
      <c r="R78" s="12" t="n">
        <f aca="false">IF(OR(R$4&lt;Assumptions!$C$32,R$4&lt;$B78),0,R56*IF(R$4&gt;=Assumptions!$C$33,INDEX($D$94:$D$111,R$4-MAX($B78,Assumptions!$C$32)+1),INDEX($C$94:$C$111,R$4-MAX($B78,Assumptions!$C$32)+1)))</f>
        <v>2.9613016846336</v>
      </c>
      <c r="S78" s="12" t="n">
        <f aca="false">IF(OR(S$4&lt;Assumptions!$C$32,S$4&lt;$B78),0,S56*IF(S$4&gt;=Assumptions!$C$33,INDEX($D$94:$D$111,S$4-MAX($B78,Assumptions!$C$32)+1),INDEX($C$94:$C$111,S$4-MAX($B78,Assumptions!$C$32)+1)))</f>
        <v>2.60594548247757</v>
      </c>
      <c r="T78" s="12" t="n">
        <f aca="false">IF(OR(T$4&lt;Assumptions!$C$32,T$4&lt;$B78),0,T56*IF(T$4&gt;=Assumptions!$C$33,INDEX($D$94:$D$111,T$4-MAX($B78,Assumptions!$C$32)+1),INDEX($C$94:$C$111,T$4-MAX($B78,Assumptions!$C$32)+1)))</f>
        <v>2.29323202458026</v>
      </c>
      <c r="U78" s="12" t="n">
        <f aca="false">IF(OR(U$4&lt;Assumptions!$C$32,U$4&lt;$B78),0,U56*IF(U$4&gt;=Assumptions!$C$33,INDEX($D$94:$D$111,U$4-MAX($B78,Assumptions!$C$32)+1),INDEX($C$94:$C$111,U$4-MAX($B78,Assumptions!$C$32)+1)))</f>
        <v>2.01804418163063</v>
      </c>
    </row>
    <row r="79" customFormat="false" ht="15" hidden="false" customHeight="false" outlineLevel="0" collapsed="false">
      <c r="A79" s="2" t="s">
        <v>274</v>
      </c>
      <c r="B79" s="15" t="n">
        <v>9</v>
      </c>
      <c r="D79" s="12" t="n">
        <f aca="false">IF(OR(D$4&lt;Assumptions!$C$32,D$4&lt;$B79),0,D57*IF(D$4&gt;=Assumptions!$C$33,INDEX($D$94:$D$111,D$4-MAX($B79,Assumptions!$C$32)+1),INDEX($C$94:$C$111,D$4-MAX($B79,Assumptions!$C$32)+1)))</f>
        <v>0</v>
      </c>
      <c r="E79" s="12" t="n">
        <f aca="false">IF(OR(E$4&lt;Assumptions!$C$32,E$4&lt;$B79),0,E57*IF(E$4&gt;=Assumptions!$C$33,INDEX($D$94:$D$111,E$4-MAX($B79,Assumptions!$C$32)+1),INDEX($C$94:$C$111,E$4-MAX($B79,Assumptions!$C$32)+1)))</f>
        <v>0</v>
      </c>
      <c r="F79" s="12" t="n">
        <f aca="false">IF(OR(F$4&lt;Assumptions!$C$32,F$4&lt;$B79),0,F57*IF(F$4&gt;=Assumptions!$C$33,INDEX($D$94:$D$111,F$4-MAX($B79,Assumptions!$C$32)+1),INDEX($C$94:$C$111,F$4-MAX($B79,Assumptions!$C$32)+1)))</f>
        <v>0</v>
      </c>
      <c r="G79" s="12" t="n">
        <f aca="false">IF(OR(G$4&lt;Assumptions!$C$32,G$4&lt;$B79),0,G57*IF(G$4&gt;=Assumptions!$C$33,INDEX($D$94:$D$111,G$4-MAX($B79,Assumptions!$C$32)+1),INDEX($C$94:$C$111,G$4-MAX($B79,Assumptions!$C$32)+1)))</f>
        <v>0</v>
      </c>
      <c r="H79" s="12" t="n">
        <f aca="false">IF(OR(H$4&lt;Assumptions!$C$32,H$4&lt;$B79),0,H57*IF(H$4&gt;=Assumptions!$C$33,INDEX($D$94:$D$111,H$4-MAX($B79,Assumptions!$C$32)+1),INDEX($C$94:$C$111,H$4-MAX($B79,Assumptions!$C$32)+1)))</f>
        <v>0</v>
      </c>
      <c r="I79" s="12" t="n">
        <f aca="false">IF(OR(I$4&lt;Assumptions!$C$32,I$4&lt;$B79),0,I57*IF(I$4&gt;=Assumptions!$C$33,INDEX($D$94:$D$111,I$4-MAX($B79,Assumptions!$C$32)+1),INDEX($C$94:$C$111,I$4-MAX($B79,Assumptions!$C$32)+1)))</f>
        <v>0</v>
      </c>
      <c r="J79" s="12" t="n">
        <f aca="false">IF(OR(J$4&lt;Assumptions!$C$32,J$4&lt;$B79),0,J57*IF(J$4&gt;=Assumptions!$C$33,INDEX($D$94:$D$111,J$4-MAX($B79,Assumptions!$C$32)+1),INDEX($C$94:$C$111,J$4-MAX($B79,Assumptions!$C$32)+1)))</f>
        <v>0</v>
      </c>
      <c r="K79" s="12" t="n">
        <f aca="false">IF(OR(K$4&lt;Assumptions!$C$32,K$4&lt;$B79),0,K57*IF(K$4&gt;=Assumptions!$C$33,INDEX($D$94:$D$111,K$4-MAX($B79,Assumptions!$C$32)+1),INDEX($C$94:$C$111,K$4-MAX($B79,Assumptions!$C$32)+1)))</f>
        <v>0</v>
      </c>
      <c r="L79" s="12" t="n">
        <f aca="false">IF(OR(L$4&lt;Assumptions!$C$32,L$4&lt;$B79),0,L57*IF(L$4&gt;=Assumptions!$C$33,INDEX($D$94:$D$111,L$4-MAX($B79,Assumptions!$C$32)+1),INDEX($C$94:$C$111,L$4-MAX($B79,Assumptions!$C$32)+1)))</f>
        <v>1.3671875</v>
      </c>
      <c r="M79" s="12" t="n">
        <f aca="false">IF(OR(M$4&lt;Assumptions!$C$32,M$4&lt;$B79),0,M57*IF(M$4&gt;=Assumptions!$C$33,INDEX($D$94:$D$111,M$4-MAX($B79,Assumptions!$C$32)+1),INDEX($C$94:$C$111,M$4-MAX($B79,Assumptions!$C$32)+1)))</f>
        <v>2.40625</v>
      </c>
      <c r="N79" s="12" t="n">
        <f aca="false">IF(OR(N$4&lt;Assumptions!$C$32,N$4&lt;$B79),0,N57*IF(N$4&gt;=Assumptions!$C$33,INDEX($D$94:$D$111,N$4-MAX($B79,Assumptions!$C$32)+1),INDEX($C$94:$C$111,N$4-MAX($B79,Assumptions!$C$32)+1)))</f>
        <v>3.17625</v>
      </c>
      <c r="O79" s="12" t="n">
        <f aca="false">IF(OR(O$4&lt;Assumptions!$C$32,O$4&lt;$B79),0,O57*IF(O$4&gt;=Assumptions!$C$33,INDEX($D$94:$D$111,O$4-MAX($B79,Assumptions!$C$32)+1),INDEX($C$94:$C$111,O$4-MAX($B79,Assumptions!$C$32)+1)))</f>
        <v>4.6585</v>
      </c>
      <c r="P79" s="12" t="n">
        <f aca="false">IF(OR(P$4&lt;Assumptions!$C$32,P$4&lt;$B79),0,P57*IF(P$4&gt;=Assumptions!$C$33,INDEX($D$94:$D$111,P$4-MAX($B79,Assumptions!$C$32)+1),INDEX($C$94:$C$111,P$4-MAX($B79,Assumptions!$C$32)+1)))</f>
        <v>4.1814696</v>
      </c>
      <c r="Q79" s="12" t="n">
        <f aca="false">IF(OR(Q$4&lt;Assumptions!$C$32,Q$4&lt;$B79),0,Q57*IF(Q$4&gt;=Assumptions!$C$33,INDEX($D$94:$D$111,Q$4-MAX($B79,Assumptions!$C$32)+1),INDEX($C$94:$C$111,Q$4-MAX($B79,Assumptions!$C$32)+1)))</f>
        <v>3.679693248</v>
      </c>
      <c r="R79" s="12" t="n">
        <f aca="false">IF(OR(R$4&lt;Assumptions!$C$32,R$4&lt;$B79),0,R57*IF(R$4&gt;=Assumptions!$C$33,INDEX($D$94:$D$111,R$4-MAX($B79,Assumptions!$C$32)+1),INDEX($C$94:$C$111,R$4-MAX($B79,Assumptions!$C$32)+1)))</f>
        <v>3.23813005824</v>
      </c>
      <c r="S79" s="12" t="n">
        <f aca="false">IF(OR(S$4&lt;Assumptions!$C$32,S$4&lt;$B79),0,S57*IF(S$4&gt;=Assumptions!$C$33,INDEX($D$94:$D$111,S$4-MAX($B79,Assumptions!$C$32)+1),INDEX($C$94:$C$111,S$4-MAX($B79,Assumptions!$C$32)+1)))</f>
        <v>2.9613016846336</v>
      </c>
      <c r="T79" s="12" t="n">
        <f aca="false">IF(OR(T$4&lt;Assumptions!$C$32,T$4&lt;$B79),0,T57*IF(T$4&gt;=Assumptions!$C$33,INDEX($D$94:$D$111,T$4-MAX($B79,Assumptions!$C$32)+1),INDEX($C$94:$C$111,T$4-MAX($B79,Assumptions!$C$32)+1)))</f>
        <v>2.60594548247757</v>
      </c>
      <c r="U79" s="12" t="n">
        <f aca="false">IF(OR(U$4&lt;Assumptions!$C$32,U$4&lt;$B79),0,U57*IF(U$4&gt;=Assumptions!$C$33,INDEX($D$94:$D$111,U$4-MAX($B79,Assumptions!$C$32)+1),INDEX($C$94:$C$111,U$4-MAX($B79,Assumptions!$C$32)+1)))</f>
        <v>2.29323202458026</v>
      </c>
    </row>
    <row r="80" customFormat="false" ht="15" hidden="false" customHeight="false" outlineLevel="0" collapsed="false">
      <c r="A80" s="2" t="s">
        <v>275</v>
      </c>
      <c r="B80" s="15" t="n">
        <v>10</v>
      </c>
      <c r="D80" s="12" t="n">
        <f aca="false">IF(OR(D$4&lt;Assumptions!$C$32,D$4&lt;$B80),0,D58*IF(D$4&gt;=Assumptions!$C$33,INDEX($D$94:$D$111,D$4-MAX($B80,Assumptions!$C$32)+1),INDEX($C$94:$C$111,D$4-MAX($B80,Assumptions!$C$32)+1)))</f>
        <v>0</v>
      </c>
      <c r="E80" s="12" t="n">
        <f aca="false">IF(OR(E$4&lt;Assumptions!$C$32,E$4&lt;$B80),0,E58*IF(E$4&gt;=Assumptions!$C$33,INDEX($D$94:$D$111,E$4-MAX($B80,Assumptions!$C$32)+1),INDEX($C$94:$C$111,E$4-MAX($B80,Assumptions!$C$32)+1)))</f>
        <v>0</v>
      </c>
      <c r="F80" s="12" t="n">
        <f aca="false">IF(OR(F$4&lt;Assumptions!$C$32,F$4&lt;$B80),0,F58*IF(F$4&gt;=Assumptions!$C$33,INDEX($D$94:$D$111,F$4-MAX($B80,Assumptions!$C$32)+1),INDEX($C$94:$C$111,F$4-MAX($B80,Assumptions!$C$32)+1)))</f>
        <v>0</v>
      </c>
      <c r="G80" s="12" t="n">
        <f aca="false">IF(OR(G$4&lt;Assumptions!$C$32,G$4&lt;$B80),0,G58*IF(G$4&gt;=Assumptions!$C$33,INDEX($D$94:$D$111,G$4-MAX($B80,Assumptions!$C$32)+1),INDEX($C$94:$C$111,G$4-MAX($B80,Assumptions!$C$32)+1)))</f>
        <v>0</v>
      </c>
      <c r="H80" s="12" t="n">
        <f aca="false">IF(OR(H$4&lt;Assumptions!$C$32,H$4&lt;$B80),0,H58*IF(H$4&gt;=Assumptions!$C$33,INDEX($D$94:$D$111,H$4-MAX($B80,Assumptions!$C$32)+1),INDEX($C$94:$C$111,H$4-MAX($B80,Assumptions!$C$32)+1)))</f>
        <v>0</v>
      </c>
      <c r="I80" s="12" t="n">
        <f aca="false">IF(OR(I$4&lt;Assumptions!$C$32,I$4&lt;$B80),0,I58*IF(I$4&gt;=Assumptions!$C$33,INDEX($D$94:$D$111,I$4-MAX($B80,Assumptions!$C$32)+1),INDEX($C$94:$C$111,I$4-MAX($B80,Assumptions!$C$32)+1)))</f>
        <v>0</v>
      </c>
      <c r="J80" s="12" t="n">
        <f aca="false">IF(OR(J$4&lt;Assumptions!$C$32,J$4&lt;$B80),0,J58*IF(J$4&gt;=Assumptions!$C$33,INDEX($D$94:$D$111,J$4-MAX($B80,Assumptions!$C$32)+1),INDEX($C$94:$C$111,J$4-MAX($B80,Assumptions!$C$32)+1)))</f>
        <v>0</v>
      </c>
      <c r="K80" s="12" t="n">
        <f aca="false">IF(OR(K$4&lt;Assumptions!$C$32,K$4&lt;$B80),0,K58*IF(K$4&gt;=Assumptions!$C$33,INDEX($D$94:$D$111,K$4-MAX($B80,Assumptions!$C$32)+1),INDEX($C$94:$C$111,K$4-MAX($B80,Assumptions!$C$32)+1)))</f>
        <v>0</v>
      </c>
      <c r="L80" s="12" t="n">
        <f aca="false">IF(OR(L$4&lt;Assumptions!$C$32,L$4&lt;$B80),0,L58*IF(L$4&gt;=Assumptions!$C$33,INDEX($D$94:$D$111,L$4-MAX($B80,Assumptions!$C$32)+1),INDEX($C$94:$C$111,L$4-MAX($B80,Assumptions!$C$32)+1)))</f>
        <v>0</v>
      </c>
      <c r="M80" s="12" t="n">
        <f aca="false">IF(OR(M$4&lt;Assumptions!$C$32,M$4&lt;$B80),0,M58*IF(M$4&gt;=Assumptions!$C$33,INDEX($D$94:$D$111,M$4-MAX($B80,Assumptions!$C$32)+1),INDEX($C$94:$C$111,M$4-MAX($B80,Assumptions!$C$32)+1)))</f>
        <v>1.3671875</v>
      </c>
      <c r="N80" s="12" t="n">
        <f aca="false">IF(OR(N$4&lt;Assumptions!$C$32,N$4&lt;$B80),0,N58*IF(N$4&gt;=Assumptions!$C$33,INDEX($D$94:$D$111,N$4-MAX($B80,Assumptions!$C$32)+1),INDEX($C$94:$C$111,N$4-MAX($B80,Assumptions!$C$32)+1)))</f>
        <v>2.40625</v>
      </c>
      <c r="O80" s="12" t="n">
        <f aca="false">IF(OR(O$4&lt;Assumptions!$C$32,O$4&lt;$B80),0,O58*IF(O$4&gt;=Assumptions!$C$33,INDEX($D$94:$D$111,O$4-MAX($B80,Assumptions!$C$32)+1),INDEX($C$94:$C$111,O$4-MAX($B80,Assumptions!$C$32)+1)))</f>
        <v>3.17625</v>
      </c>
      <c r="P80" s="12" t="n">
        <f aca="false">IF(OR(P$4&lt;Assumptions!$C$32,P$4&lt;$B80),0,P58*IF(P$4&gt;=Assumptions!$C$33,INDEX($D$94:$D$111,P$4-MAX($B80,Assumptions!$C$32)+1),INDEX($C$94:$C$111,P$4-MAX($B80,Assumptions!$C$32)+1)))</f>
        <v>4.6585</v>
      </c>
      <c r="Q80" s="12" t="n">
        <f aca="false">IF(OR(Q$4&lt;Assumptions!$C$32,Q$4&lt;$B80),0,Q58*IF(Q$4&gt;=Assumptions!$C$33,INDEX($D$94:$D$111,Q$4-MAX($B80,Assumptions!$C$32)+1),INDEX($C$94:$C$111,Q$4-MAX($B80,Assumptions!$C$32)+1)))</f>
        <v>4.1814696</v>
      </c>
      <c r="R80" s="12" t="n">
        <f aca="false">IF(OR(R$4&lt;Assumptions!$C$32,R$4&lt;$B80),0,R58*IF(R$4&gt;=Assumptions!$C$33,INDEX($D$94:$D$111,R$4-MAX($B80,Assumptions!$C$32)+1),INDEX($C$94:$C$111,R$4-MAX($B80,Assumptions!$C$32)+1)))</f>
        <v>3.679693248</v>
      </c>
      <c r="S80" s="12" t="n">
        <f aca="false">IF(OR(S$4&lt;Assumptions!$C$32,S$4&lt;$B80),0,S58*IF(S$4&gt;=Assumptions!$C$33,INDEX($D$94:$D$111,S$4-MAX($B80,Assumptions!$C$32)+1),INDEX($C$94:$C$111,S$4-MAX($B80,Assumptions!$C$32)+1)))</f>
        <v>3.23813005824</v>
      </c>
      <c r="T80" s="12" t="n">
        <f aca="false">IF(OR(T$4&lt;Assumptions!$C$32,T$4&lt;$B80),0,T58*IF(T$4&gt;=Assumptions!$C$33,INDEX($D$94:$D$111,T$4-MAX($B80,Assumptions!$C$32)+1),INDEX($C$94:$C$111,T$4-MAX($B80,Assumptions!$C$32)+1)))</f>
        <v>2.9613016846336</v>
      </c>
      <c r="U80" s="12" t="n">
        <f aca="false">IF(OR(U$4&lt;Assumptions!$C$32,U$4&lt;$B80),0,U58*IF(U$4&gt;=Assumptions!$C$33,INDEX($D$94:$D$111,U$4-MAX($B80,Assumptions!$C$32)+1),INDEX($C$94:$C$111,U$4-MAX($B80,Assumptions!$C$32)+1)))</f>
        <v>2.60594548247757</v>
      </c>
    </row>
    <row r="81" customFormat="false" ht="15" hidden="false" customHeight="false" outlineLevel="0" collapsed="false">
      <c r="A81" s="2" t="s">
        <v>276</v>
      </c>
      <c r="B81" s="15" t="n">
        <v>11</v>
      </c>
      <c r="D81" s="12" t="n">
        <f aca="false">IF(OR(D$4&lt;Assumptions!$C$32,D$4&lt;$B81),0,D59*IF(D$4&gt;=Assumptions!$C$33,INDEX($D$94:$D$111,D$4-MAX($B81,Assumptions!$C$32)+1),INDEX($C$94:$C$111,D$4-MAX($B81,Assumptions!$C$32)+1)))</f>
        <v>0</v>
      </c>
      <c r="E81" s="12" t="n">
        <f aca="false">IF(OR(E$4&lt;Assumptions!$C$32,E$4&lt;$B81),0,E59*IF(E$4&gt;=Assumptions!$C$33,INDEX($D$94:$D$111,E$4-MAX($B81,Assumptions!$C$32)+1),INDEX($C$94:$C$111,E$4-MAX($B81,Assumptions!$C$32)+1)))</f>
        <v>0</v>
      </c>
      <c r="F81" s="12" t="n">
        <f aca="false">IF(OR(F$4&lt;Assumptions!$C$32,F$4&lt;$B81),0,F59*IF(F$4&gt;=Assumptions!$C$33,INDEX($D$94:$D$111,F$4-MAX($B81,Assumptions!$C$32)+1),INDEX($C$94:$C$111,F$4-MAX($B81,Assumptions!$C$32)+1)))</f>
        <v>0</v>
      </c>
      <c r="G81" s="12" t="n">
        <f aca="false">IF(OR(G$4&lt;Assumptions!$C$32,G$4&lt;$B81),0,G59*IF(G$4&gt;=Assumptions!$C$33,INDEX($D$94:$D$111,G$4-MAX($B81,Assumptions!$C$32)+1),INDEX($C$94:$C$111,G$4-MAX($B81,Assumptions!$C$32)+1)))</f>
        <v>0</v>
      </c>
      <c r="H81" s="12" t="n">
        <f aca="false">IF(OR(H$4&lt;Assumptions!$C$32,H$4&lt;$B81),0,H59*IF(H$4&gt;=Assumptions!$C$33,INDEX($D$94:$D$111,H$4-MAX($B81,Assumptions!$C$32)+1),INDEX($C$94:$C$111,H$4-MAX($B81,Assumptions!$C$32)+1)))</f>
        <v>0</v>
      </c>
      <c r="I81" s="12" t="n">
        <f aca="false">IF(OR(I$4&lt;Assumptions!$C$32,I$4&lt;$B81),0,I59*IF(I$4&gt;=Assumptions!$C$33,INDEX($D$94:$D$111,I$4-MAX($B81,Assumptions!$C$32)+1),INDEX($C$94:$C$111,I$4-MAX($B81,Assumptions!$C$32)+1)))</f>
        <v>0</v>
      </c>
      <c r="J81" s="12" t="n">
        <f aca="false">IF(OR(J$4&lt;Assumptions!$C$32,J$4&lt;$B81),0,J59*IF(J$4&gt;=Assumptions!$C$33,INDEX($D$94:$D$111,J$4-MAX($B81,Assumptions!$C$32)+1),INDEX($C$94:$C$111,J$4-MAX($B81,Assumptions!$C$32)+1)))</f>
        <v>0</v>
      </c>
      <c r="K81" s="12" t="n">
        <f aca="false">IF(OR(K$4&lt;Assumptions!$C$32,K$4&lt;$B81),0,K59*IF(K$4&gt;=Assumptions!$C$33,INDEX($D$94:$D$111,K$4-MAX($B81,Assumptions!$C$32)+1),INDEX($C$94:$C$111,K$4-MAX($B81,Assumptions!$C$32)+1)))</f>
        <v>0</v>
      </c>
      <c r="L81" s="12" t="n">
        <f aca="false">IF(OR(L$4&lt;Assumptions!$C$32,L$4&lt;$B81),0,L59*IF(L$4&gt;=Assumptions!$C$33,INDEX($D$94:$D$111,L$4-MAX($B81,Assumptions!$C$32)+1),INDEX($C$94:$C$111,L$4-MAX($B81,Assumptions!$C$32)+1)))</f>
        <v>0</v>
      </c>
      <c r="M81" s="12" t="n">
        <f aca="false">IF(OR(M$4&lt;Assumptions!$C$32,M$4&lt;$B81),0,M59*IF(M$4&gt;=Assumptions!$C$33,INDEX($D$94:$D$111,M$4-MAX($B81,Assumptions!$C$32)+1),INDEX($C$94:$C$111,M$4-MAX($B81,Assumptions!$C$32)+1)))</f>
        <v>0</v>
      </c>
      <c r="N81" s="12" t="n">
        <f aca="false">IF(OR(N$4&lt;Assumptions!$C$32,N$4&lt;$B81),0,N59*IF(N$4&gt;=Assumptions!$C$33,INDEX($D$94:$D$111,N$4-MAX($B81,Assumptions!$C$32)+1),INDEX($C$94:$C$111,N$4-MAX($B81,Assumptions!$C$32)+1)))</f>
        <v>1.171875</v>
      </c>
      <c r="O81" s="12" t="n">
        <f aca="false">IF(OR(O$4&lt;Assumptions!$C$32,O$4&lt;$B81),0,O59*IF(O$4&gt;=Assumptions!$C$33,INDEX($D$94:$D$111,O$4-MAX($B81,Assumptions!$C$32)+1),INDEX($C$94:$C$111,O$4-MAX($B81,Assumptions!$C$32)+1)))</f>
        <v>2.0625</v>
      </c>
      <c r="P81" s="12" t="n">
        <f aca="false">IF(OR(P$4&lt;Assumptions!$C$32,P$4&lt;$B81),0,P59*IF(P$4&gt;=Assumptions!$C$33,INDEX($D$94:$D$111,P$4-MAX($B81,Assumptions!$C$32)+1),INDEX($C$94:$C$111,P$4-MAX($B81,Assumptions!$C$32)+1)))</f>
        <v>2.7225</v>
      </c>
      <c r="Q81" s="12" t="n">
        <f aca="false">IF(OR(Q$4&lt;Assumptions!$C$32,Q$4&lt;$B81),0,Q59*IF(Q$4&gt;=Assumptions!$C$33,INDEX($D$94:$D$111,Q$4-MAX($B81,Assumptions!$C$32)+1),INDEX($C$94:$C$111,Q$4-MAX($B81,Assumptions!$C$32)+1)))</f>
        <v>3.993</v>
      </c>
      <c r="R81" s="12" t="n">
        <f aca="false">IF(OR(R$4&lt;Assumptions!$C$32,R$4&lt;$B81),0,R59*IF(R$4&gt;=Assumptions!$C$33,INDEX($D$94:$D$111,R$4-MAX($B81,Assumptions!$C$32)+1),INDEX($C$94:$C$111,R$4-MAX($B81,Assumptions!$C$32)+1)))</f>
        <v>3.5841168</v>
      </c>
      <c r="S81" s="12" t="n">
        <f aca="false">IF(OR(S$4&lt;Assumptions!$C$32,S$4&lt;$B81),0,S59*IF(S$4&gt;=Assumptions!$C$33,INDEX($D$94:$D$111,S$4-MAX($B81,Assumptions!$C$32)+1),INDEX($C$94:$C$111,S$4-MAX($B81,Assumptions!$C$32)+1)))</f>
        <v>3.154022784</v>
      </c>
      <c r="T81" s="12" t="n">
        <f aca="false">IF(OR(T$4&lt;Assumptions!$C$32,T$4&lt;$B81),0,T59*IF(T$4&gt;=Assumptions!$C$33,INDEX($D$94:$D$111,T$4-MAX($B81,Assumptions!$C$32)+1),INDEX($C$94:$C$111,T$4-MAX($B81,Assumptions!$C$32)+1)))</f>
        <v>2.77554004992</v>
      </c>
      <c r="U81" s="12" t="n">
        <f aca="false">IF(OR(U$4&lt;Assumptions!$C$32,U$4&lt;$B81),0,U59*IF(U$4&gt;=Assumptions!$C$33,INDEX($D$94:$D$111,U$4-MAX($B81,Assumptions!$C$32)+1),INDEX($C$94:$C$111,U$4-MAX($B81,Assumptions!$C$32)+1)))</f>
        <v>2.5382585868288</v>
      </c>
    </row>
    <row r="82" customFormat="false" ht="15" hidden="false" customHeight="false" outlineLevel="0" collapsed="false">
      <c r="A82" s="2" t="s">
        <v>277</v>
      </c>
      <c r="B82" s="15" t="n">
        <v>12</v>
      </c>
      <c r="D82" s="12" t="n">
        <f aca="false">IF(OR(D$4&lt;Assumptions!$C$32,D$4&lt;$B82),0,D60*IF(D$4&gt;=Assumptions!$C$33,INDEX($D$94:$D$111,D$4-MAX($B82,Assumptions!$C$32)+1),INDEX($C$94:$C$111,D$4-MAX($B82,Assumptions!$C$32)+1)))</f>
        <v>0</v>
      </c>
      <c r="E82" s="12" t="n">
        <f aca="false">IF(OR(E$4&lt;Assumptions!$C$32,E$4&lt;$B82),0,E60*IF(E$4&gt;=Assumptions!$C$33,INDEX($D$94:$D$111,E$4-MAX($B82,Assumptions!$C$32)+1),INDEX($C$94:$C$111,E$4-MAX($B82,Assumptions!$C$32)+1)))</f>
        <v>0</v>
      </c>
      <c r="F82" s="12" t="n">
        <f aca="false">IF(OR(F$4&lt;Assumptions!$C$32,F$4&lt;$B82),0,F60*IF(F$4&gt;=Assumptions!$C$33,INDEX($D$94:$D$111,F$4-MAX($B82,Assumptions!$C$32)+1),INDEX($C$94:$C$111,F$4-MAX($B82,Assumptions!$C$32)+1)))</f>
        <v>0</v>
      </c>
      <c r="G82" s="12" t="n">
        <f aca="false">IF(OR(G$4&lt;Assumptions!$C$32,G$4&lt;$B82),0,G60*IF(G$4&gt;=Assumptions!$C$33,INDEX($D$94:$D$111,G$4-MAX($B82,Assumptions!$C$32)+1),INDEX($C$94:$C$111,G$4-MAX($B82,Assumptions!$C$32)+1)))</f>
        <v>0</v>
      </c>
      <c r="H82" s="12" t="n">
        <f aca="false">IF(OR(H$4&lt;Assumptions!$C$32,H$4&lt;$B82),0,H60*IF(H$4&gt;=Assumptions!$C$33,INDEX($D$94:$D$111,H$4-MAX($B82,Assumptions!$C$32)+1),INDEX($C$94:$C$111,H$4-MAX($B82,Assumptions!$C$32)+1)))</f>
        <v>0</v>
      </c>
      <c r="I82" s="12" t="n">
        <f aca="false">IF(OR(I$4&lt;Assumptions!$C$32,I$4&lt;$B82),0,I60*IF(I$4&gt;=Assumptions!$C$33,INDEX($D$94:$D$111,I$4-MAX($B82,Assumptions!$C$32)+1),INDEX($C$94:$C$111,I$4-MAX($B82,Assumptions!$C$32)+1)))</f>
        <v>0</v>
      </c>
      <c r="J82" s="12" t="n">
        <f aca="false">IF(OR(J$4&lt;Assumptions!$C$32,J$4&lt;$B82),0,J60*IF(J$4&gt;=Assumptions!$C$33,INDEX($D$94:$D$111,J$4-MAX($B82,Assumptions!$C$32)+1),INDEX($C$94:$C$111,J$4-MAX($B82,Assumptions!$C$32)+1)))</f>
        <v>0</v>
      </c>
      <c r="K82" s="12" t="n">
        <f aca="false">IF(OR(K$4&lt;Assumptions!$C$32,K$4&lt;$B82),0,K60*IF(K$4&gt;=Assumptions!$C$33,INDEX($D$94:$D$111,K$4-MAX($B82,Assumptions!$C$32)+1),INDEX($C$94:$C$111,K$4-MAX($B82,Assumptions!$C$32)+1)))</f>
        <v>0</v>
      </c>
      <c r="L82" s="12" t="n">
        <f aca="false">IF(OR(L$4&lt;Assumptions!$C$32,L$4&lt;$B82),0,L60*IF(L$4&gt;=Assumptions!$C$33,INDEX($D$94:$D$111,L$4-MAX($B82,Assumptions!$C$32)+1),INDEX($C$94:$C$111,L$4-MAX($B82,Assumptions!$C$32)+1)))</f>
        <v>0</v>
      </c>
      <c r="M82" s="12" t="n">
        <f aca="false">IF(OR(M$4&lt;Assumptions!$C$32,M$4&lt;$B82),0,M60*IF(M$4&gt;=Assumptions!$C$33,INDEX($D$94:$D$111,M$4-MAX($B82,Assumptions!$C$32)+1),INDEX($C$94:$C$111,M$4-MAX($B82,Assumptions!$C$32)+1)))</f>
        <v>0</v>
      </c>
      <c r="N82" s="12" t="n">
        <f aca="false">IF(OR(N$4&lt;Assumptions!$C$32,N$4&lt;$B82),0,N60*IF(N$4&gt;=Assumptions!$C$33,INDEX($D$94:$D$111,N$4-MAX($B82,Assumptions!$C$32)+1),INDEX($C$94:$C$111,N$4-MAX($B82,Assumptions!$C$32)+1)))</f>
        <v>0</v>
      </c>
      <c r="O82" s="12" t="n">
        <f aca="false">IF(OR(O$4&lt;Assumptions!$C$32,O$4&lt;$B82),0,O60*IF(O$4&gt;=Assumptions!$C$33,INDEX($D$94:$D$111,O$4-MAX($B82,Assumptions!$C$32)+1),INDEX($C$94:$C$111,O$4-MAX($B82,Assumptions!$C$32)+1)))</f>
        <v>1.171875</v>
      </c>
      <c r="P82" s="12" t="n">
        <f aca="false">IF(OR(P$4&lt;Assumptions!$C$32,P$4&lt;$B82),0,P60*IF(P$4&gt;=Assumptions!$C$33,INDEX($D$94:$D$111,P$4-MAX($B82,Assumptions!$C$32)+1),INDEX($C$94:$C$111,P$4-MAX($B82,Assumptions!$C$32)+1)))</f>
        <v>2.0625</v>
      </c>
      <c r="Q82" s="12" t="n">
        <f aca="false">IF(OR(Q$4&lt;Assumptions!$C$32,Q$4&lt;$B82),0,Q60*IF(Q$4&gt;=Assumptions!$C$33,INDEX($D$94:$D$111,Q$4-MAX($B82,Assumptions!$C$32)+1),INDEX($C$94:$C$111,Q$4-MAX($B82,Assumptions!$C$32)+1)))</f>
        <v>2.7225</v>
      </c>
      <c r="R82" s="12" t="n">
        <f aca="false">IF(OR(R$4&lt;Assumptions!$C$32,R$4&lt;$B82),0,R60*IF(R$4&gt;=Assumptions!$C$33,INDEX($D$94:$D$111,R$4-MAX($B82,Assumptions!$C$32)+1),INDEX($C$94:$C$111,R$4-MAX($B82,Assumptions!$C$32)+1)))</f>
        <v>3.993</v>
      </c>
      <c r="S82" s="12" t="n">
        <f aca="false">IF(OR(S$4&lt;Assumptions!$C$32,S$4&lt;$B82),0,S60*IF(S$4&gt;=Assumptions!$C$33,INDEX($D$94:$D$111,S$4-MAX($B82,Assumptions!$C$32)+1),INDEX($C$94:$C$111,S$4-MAX($B82,Assumptions!$C$32)+1)))</f>
        <v>3.5841168</v>
      </c>
      <c r="T82" s="12" t="n">
        <f aca="false">IF(OR(T$4&lt;Assumptions!$C$32,T$4&lt;$B82),0,T60*IF(T$4&gt;=Assumptions!$C$33,INDEX($D$94:$D$111,T$4-MAX($B82,Assumptions!$C$32)+1),INDEX($C$94:$C$111,T$4-MAX($B82,Assumptions!$C$32)+1)))</f>
        <v>3.154022784</v>
      </c>
      <c r="U82" s="12" t="n">
        <f aca="false">IF(OR(U$4&lt;Assumptions!$C$32,U$4&lt;$B82),0,U60*IF(U$4&gt;=Assumptions!$C$33,INDEX($D$94:$D$111,U$4-MAX($B82,Assumptions!$C$32)+1),INDEX($C$94:$C$111,U$4-MAX($B82,Assumptions!$C$32)+1)))</f>
        <v>2.77554004992</v>
      </c>
    </row>
    <row r="83" customFormat="false" ht="15" hidden="false" customHeight="false" outlineLevel="0" collapsed="false">
      <c r="A83" s="2" t="s">
        <v>278</v>
      </c>
      <c r="B83" s="15" t="n">
        <v>13</v>
      </c>
      <c r="D83" s="12" t="n">
        <f aca="false">IF(OR(D$4&lt;Assumptions!$C$32,D$4&lt;$B83),0,D61*IF(D$4&gt;=Assumptions!$C$33,INDEX($D$94:$D$111,D$4-MAX($B83,Assumptions!$C$32)+1),INDEX($C$94:$C$111,D$4-MAX($B83,Assumptions!$C$32)+1)))</f>
        <v>0</v>
      </c>
      <c r="E83" s="12" t="n">
        <f aca="false">IF(OR(E$4&lt;Assumptions!$C$32,E$4&lt;$B83),0,E61*IF(E$4&gt;=Assumptions!$C$33,INDEX($D$94:$D$111,E$4-MAX($B83,Assumptions!$C$32)+1),INDEX($C$94:$C$111,E$4-MAX($B83,Assumptions!$C$32)+1)))</f>
        <v>0</v>
      </c>
      <c r="F83" s="12" t="n">
        <f aca="false">IF(OR(F$4&lt;Assumptions!$C$32,F$4&lt;$B83),0,F61*IF(F$4&gt;=Assumptions!$C$33,INDEX($D$94:$D$111,F$4-MAX($B83,Assumptions!$C$32)+1),INDEX($C$94:$C$111,F$4-MAX($B83,Assumptions!$C$32)+1)))</f>
        <v>0</v>
      </c>
      <c r="G83" s="12" t="n">
        <f aca="false">IF(OR(G$4&lt;Assumptions!$C$32,G$4&lt;$B83),0,G61*IF(G$4&gt;=Assumptions!$C$33,INDEX($D$94:$D$111,G$4-MAX($B83,Assumptions!$C$32)+1),INDEX($C$94:$C$111,G$4-MAX($B83,Assumptions!$C$32)+1)))</f>
        <v>0</v>
      </c>
      <c r="H83" s="12" t="n">
        <f aca="false">IF(OR(H$4&lt;Assumptions!$C$32,H$4&lt;$B83),0,H61*IF(H$4&gt;=Assumptions!$C$33,INDEX($D$94:$D$111,H$4-MAX($B83,Assumptions!$C$32)+1),INDEX($C$94:$C$111,H$4-MAX($B83,Assumptions!$C$32)+1)))</f>
        <v>0</v>
      </c>
      <c r="I83" s="12" t="n">
        <f aca="false">IF(OR(I$4&lt;Assumptions!$C$32,I$4&lt;$B83),0,I61*IF(I$4&gt;=Assumptions!$C$33,INDEX($D$94:$D$111,I$4-MAX($B83,Assumptions!$C$32)+1),INDEX($C$94:$C$111,I$4-MAX($B83,Assumptions!$C$32)+1)))</f>
        <v>0</v>
      </c>
      <c r="J83" s="12" t="n">
        <f aca="false">IF(OR(J$4&lt;Assumptions!$C$32,J$4&lt;$B83),0,J61*IF(J$4&gt;=Assumptions!$C$33,INDEX($D$94:$D$111,J$4-MAX($B83,Assumptions!$C$32)+1),INDEX($C$94:$C$111,J$4-MAX($B83,Assumptions!$C$32)+1)))</f>
        <v>0</v>
      </c>
      <c r="K83" s="12" t="n">
        <f aca="false">IF(OR(K$4&lt;Assumptions!$C$32,K$4&lt;$B83),0,K61*IF(K$4&gt;=Assumptions!$C$33,INDEX($D$94:$D$111,K$4-MAX($B83,Assumptions!$C$32)+1),INDEX($C$94:$C$111,K$4-MAX($B83,Assumptions!$C$32)+1)))</f>
        <v>0</v>
      </c>
      <c r="L83" s="12" t="n">
        <f aca="false">IF(OR(L$4&lt;Assumptions!$C$32,L$4&lt;$B83),0,L61*IF(L$4&gt;=Assumptions!$C$33,INDEX($D$94:$D$111,L$4-MAX($B83,Assumptions!$C$32)+1),INDEX($C$94:$C$111,L$4-MAX($B83,Assumptions!$C$32)+1)))</f>
        <v>0</v>
      </c>
      <c r="M83" s="12" t="n">
        <f aca="false">IF(OR(M$4&lt;Assumptions!$C$32,M$4&lt;$B83),0,M61*IF(M$4&gt;=Assumptions!$C$33,INDEX($D$94:$D$111,M$4-MAX($B83,Assumptions!$C$32)+1),INDEX($C$94:$C$111,M$4-MAX($B83,Assumptions!$C$32)+1)))</f>
        <v>0</v>
      </c>
      <c r="N83" s="12" t="n">
        <f aca="false">IF(OR(N$4&lt;Assumptions!$C$32,N$4&lt;$B83),0,N61*IF(N$4&gt;=Assumptions!$C$33,INDEX($D$94:$D$111,N$4-MAX($B83,Assumptions!$C$32)+1),INDEX($C$94:$C$111,N$4-MAX($B83,Assumptions!$C$32)+1)))</f>
        <v>0</v>
      </c>
      <c r="O83" s="12" t="n">
        <f aca="false">IF(OR(O$4&lt;Assumptions!$C$32,O$4&lt;$B83),0,O61*IF(O$4&gt;=Assumptions!$C$33,INDEX($D$94:$D$111,O$4-MAX($B83,Assumptions!$C$32)+1),INDEX($C$94:$C$111,O$4-MAX($B83,Assumptions!$C$32)+1)))</f>
        <v>0</v>
      </c>
      <c r="P83" s="12" t="n">
        <f aca="false">IF(OR(P$4&lt;Assumptions!$C$32,P$4&lt;$B83),0,P61*IF(P$4&gt;=Assumptions!$C$33,INDEX($D$94:$D$111,P$4-MAX($B83,Assumptions!$C$32)+1),INDEX($C$94:$C$111,P$4-MAX($B83,Assumptions!$C$32)+1)))</f>
        <v>1.171875</v>
      </c>
      <c r="Q83" s="12" t="n">
        <f aca="false">IF(OR(Q$4&lt;Assumptions!$C$32,Q$4&lt;$B83),0,Q61*IF(Q$4&gt;=Assumptions!$C$33,INDEX($D$94:$D$111,Q$4-MAX($B83,Assumptions!$C$32)+1),INDEX($C$94:$C$111,Q$4-MAX($B83,Assumptions!$C$32)+1)))</f>
        <v>2.0625</v>
      </c>
      <c r="R83" s="12" t="n">
        <f aca="false">IF(OR(R$4&lt;Assumptions!$C$32,R$4&lt;$B83),0,R61*IF(R$4&gt;=Assumptions!$C$33,INDEX($D$94:$D$111,R$4-MAX($B83,Assumptions!$C$32)+1),INDEX($C$94:$C$111,R$4-MAX($B83,Assumptions!$C$32)+1)))</f>
        <v>2.7225</v>
      </c>
      <c r="S83" s="12" t="n">
        <f aca="false">IF(OR(S$4&lt;Assumptions!$C$32,S$4&lt;$B83),0,S61*IF(S$4&gt;=Assumptions!$C$33,INDEX($D$94:$D$111,S$4-MAX($B83,Assumptions!$C$32)+1),INDEX($C$94:$C$111,S$4-MAX($B83,Assumptions!$C$32)+1)))</f>
        <v>3.993</v>
      </c>
      <c r="T83" s="12" t="n">
        <f aca="false">IF(OR(T$4&lt;Assumptions!$C$32,T$4&lt;$B83),0,T61*IF(T$4&gt;=Assumptions!$C$33,INDEX($D$94:$D$111,T$4-MAX($B83,Assumptions!$C$32)+1),INDEX($C$94:$C$111,T$4-MAX($B83,Assumptions!$C$32)+1)))</f>
        <v>3.5841168</v>
      </c>
      <c r="U83" s="12" t="n">
        <f aca="false">IF(OR(U$4&lt;Assumptions!$C$32,U$4&lt;$B83),0,U61*IF(U$4&gt;=Assumptions!$C$33,INDEX($D$94:$D$111,U$4-MAX($B83,Assumptions!$C$32)+1),INDEX($C$94:$C$111,U$4-MAX($B83,Assumptions!$C$32)+1)))</f>
        <v>3.154022784</v>
      </c>
    </row>
    <row r="84" customFormat="false" ht="15" hidden="false" customHeight="false" outlineLevel="0" collapsed="false">
      <c r="A84" s="2" t="s">
        <v>279</v>
      </c>
      <c r="B84" s="15" t="n">
        <v>14</v>
      </c>
      <c r="D84" s="12" t="n">
        <f aca="false">IF(OR(D$4&lt;Assumptions!$C$32,D$4&lt;$B84),0,D62*IF(D$4&gt;=Assumptions!$C$33,INDEX($D$94:$D$111,D$4-MAX($B84,Assumptions!$C$32)+1),INDEX($C$94:$C$111,D$4-MAX($B84,Assumptions!$C$32)+1)))</f>
        <v>0</v>
      </c>
      <c r="E84" s="12" t="n">
        <f aca="false">IF(OR(E$4&lt;Assumptions!$C$32,E$4&lt;$B84),0,E62*IF(E$4&gt;=Assumptions!$C$33,INDEX($D$94:$D$111,E$4-MAX($B84,Assumptions!$C$32)+1),INDEX($C$94:$C$111,E$4-MAX($B84,Assumptions!$C$32)+1)))</f>
        <v>0</v>
      </c>
      <c r="F84" s="12" t="n">
        <f aca="false">IF(OR(F$4&lt;Assumptions!$C$32,F$4&lt;$B84),0,F62*IF(F$4&gt;=Assumptions!$C$33,INDEX($D$94:$D$111,F$4-MAX($B84,Assumptions!$C$32)+1),INDEX($C$94:$C$111,F$4-MAX($B84,Assumptions!$C$32)+1)))</f>
        <v>0</v>
      </c>
      <c r="G84" s="12" t="n">
        <f aca="false">IF(OR(G$4&lt;Assumptions!$C$32,G$4&lt;$B84),0,G62*IF(G$4&gt;=Assumptions!$C$33,INDEX($D$94:$D$111,G$4-MAX($B84,Assumptions!$C$32)+1),INDEX($C$94:$C$111,G$4-MAX($B84,Assumptions!$C$32)+1)))</f>
        <v>0</v>
      </c>
      <c r="H84" s="12" t="n">
        <f aca="false">IF(OR(H$4&lt;Assumptions!$C$32,H$4&lt;$B84),0,H62*IF(H$4&gt;=Assumptions!$C$33,INDEX($D$94:$D$111,H$4-MAX($B84,Assumptions!$C$32)+1),INDEX($C$94:$C$111,H$4-MAX($B84,Assumptions!$C$32)+1)))</f>
        <v>0</v>
      </c>
      <c r="I84" s="12" t="n">
        <f aca="false">IF(OR(I$4&lt;Assumptions!$C$32,I$4&lt;$B84),0,I62*IF(I$4&gt;=Assumptions!$C$33,INDEX($D$94:$D$111,I$4-MAX($B84,Assumptions!$C$32)+1),INDEX($C$94:$C$111,I$4-MAX($B84,Assumptions!$C$32)+1)))</f>
        <v>0</v>
      </c>
      <c r="J84" s="12" t="n">
        <f aca="false">IF(OR(J$4&lt;Assumptions!$C$32,J$4&lt;$B84),0,J62*IF(J$4&gt;=Assumptions!$C$33,INDEX($D$94:$D$111,J$4-MAX($B84,Assumptions!$C$32)+1),INDEX($C$94:$C$111,J$4-MAX($B84,Assumptions!$C$32)+1)))</f>
        <v>0</v>
      </c>
      <c r="K84" s="12" t="n">
        <f aca="false">IF(OR(K$4&lt;Assumptions!$C$32,K$4&lt;$B84),0,K62*IF(K$4&gt;=Assumptions!$C$33,INDEX($D$94:$D$111,K$4-MAX($B84,Assumptions!$C$32)+1),INDEX($C$94:$C$111,K$4-MAX($B84,Assumptions!$C$32)+1)))</f>
        <v>0</v>
      </c>
      <c r="L84" s="12" t="n">
        <f aca="false">IF(OR(L$4&lt;Assumptions!$C$32,L$4&lt;$B84),0,L62*IF(L$4&gt;=Assumptions!$C$33,INDEX($D$94:$D$111,L$4-MAX($B84,Assumptions!$C$32)+1),INDEX($C$94:$C$111,L$4-MAX($B84,Assumptions!$C$32)+1)))</f>
        <v>0</v>
      </c>
      <c r="M84" s="12" t="n">
        <f aca="false">IF(OR(M$4&lt;Assumptions!$C$32,M$4&lt;$B84),0,M62*IF(M$4&gt;=Assumptions!$C$33,INDEX($D$94:$D$111,M$4-MAX($B84,Assumptions!$C$32)+1),INDEX($C$94:$C$111,M$4-MAX($B84,Assumptions!$C$32)+1)))</f>
        <v>0</v>
      </c>
      <c r="N84" s="12" t="n">
        <f aca="false">IF(OR(N$4&lt;Assumptions!$C$32,N$4&lt;$B84),0,N62*IF(N$4&gt;=Assumptions!$C$33,INDEX($D$94:$D$111,N$4-MAX($B84,Assumptions!$C$32)+1),INDEX($C$94:$C$111,N$4-MAX($B84,Assumptions!$C$32)+1)))</f>
        <v>0</v>
      </c>
      <c r="O84" s="12" t="n">
        <f aca="false">IF(OR(O$4&lt;Assumptions!$C$32,O$4&lt;$B84),0,O62*IF(O$4&gt;=Assumptions!$C$33,INDEX($D$94:$D$111,O$4-MAX($B84,Assumptions!$C$32)+1),INDEX($C$94:$C$111,O$4-MAX($B84,Assumptions!$C$32)+1)))</f>
        <v>0</v>
      </c>
      <c r="P84" s="12" t="n">
        <f aca="false">IF(OR(P$4&lt;Assumptions!$C$32,P$4&lt;$B84),0,P62*IF(P$4&gt;=Assumptions!$C$33,INDEX($D$94:$D$111,P$4-MAX($B84,Assumptions!$C$32)+1),INDEX($C$94:$C$111,P$4-MAX($B84,Assumptions!$C$32)+1)))</f>
        <v>0</v>
      </c>
      <c r="Q84" s="12" t="n">
        <f aca="false">IF(OR(Q$4&lt;Assumptions!$C$32,Q$4&lt;$B84),0,Q62*IF(Q$4&gt;=Assumptions!$C$33,INDEX($D$94:$D$111,Q$4-MAX($B84,Assumptions!$C$32)+1),INDEX($C$94:$C$111,Q$4-MAX($B84,Assumptions!$C$32)+1)))</f>
        <v>0.9765625</v>
      </c>
      <c r="R84" s="12" t="n">
        <f aca="false">IF(OR(R$4&lt;Assumptions!$C$32,R$4&lt;$B84),0,R62*IF(R$4&gt;=Assumptions!$C$33,INDEX($D$94:$D$111,R$4-MAX($B84,Assumptions!$C$32)+1),INDEX($C$94:$C$111,R$4-MAX($B84,Assumptions!$C$32)+1)))</f>
        <v>1.71875</v>
      </c>
      <c r="S84" s="12" t="n">
        <f aca="false">IF(OR(S$4&lt;Assumptions!$C$32,S$4&lt;$B84),0,S62*IF(S$4&gt;=Assumptions!$C$33,INDEX($D$94:$D$111,S$4-MAX($B84,Assumptions!$C$32)+1),INDEX($C$94:$C$111,S$4-MAX($B84,Assumptions!$C$32)+1)))</f>
        <v>2.26875</v>
      </c>
      <c r="T84" s="12" t="n">
        <f aca="false">IF(OR(T$4&lt;Assumptions!$C$32,T$4&lt;$B84),0,T62*IF(T$4&gt;=Assumptions!$C$33,INDEX($D$94:$D$111,T$4-MAX($B84,Assumptions!$C$32)+1),INDEX($C$94:$C$111,T$4-MAX($B84,Assumptions!$C$32)+1)))</f>
        <v>3.3275</v>
      </c>
      <c r="U84" s="12" t="n">
        <f aca="false">IF(OR(U$4&lt;Assumptions!$C$32,U$4&lt;$B84),0,U62*IF(U$4&gt;=Assumptions!$C$33,INDEX($D$94:$D$111,U$4-MAX($B84,Assumptions!$C$32)+1),INDEX($C$94:$C$111,U$4-MAX($B84,Assumptions!$C$32)+1)))</f>
        <v>2.986764</v>
      </c>
    </row>
    <row r="85" customFormat="false" ht="15" hidden="false" customHeight="false" outlineLevel="0" collapsed="false">
      <c r="A85" s="2" t="s">
        <v>280</v>
      </c>
      <c r="B85" s="15" t="n">
        <v>15</v>
      </c>
      <c r="D85" s="12" t="n">
        <f aca="false">IF(OR(D$4&lt;Assumptions!$C$32,D$4&lt;$B85),0,D63*IF(D$4&gt;=Assumptions!$C$33,INDEX($D$94:$D$111,D$4-MAX($B85,Assumptions!$C$32)+1),INDEX($C$94:$C$111,D$4-MAX($B85,Assumptions!$C$32)+1)))</f>
        <v>0</v>
      </c>
      <c r="E85" s="12" t="n">
        <f aca="false">IF(OR(E$4&lt;Assumptions!$C$32,E$4&lt;$B85),0,E63*IF(E$4&gt;=Assumptions!$C$33,INDEX($D$94:$D$111,E$4-MAX($B85,Assumptions!$C$32)+1),INDEX($C$94:$C$111,E$4-MAX($B85,Assumptions!$C$32)+1)))</f>
        <v>0</v>
      </c>
      <c r="F85" s="12" t="n">
        <f aca="false">IF(OR(F$4&lt;Assumptions!$C$32,F$4&lt;$B85),0,F63*IF(F$4&gt;=Assumptions!$C$33,INDEX($D$94:$D$111,F$4-MAX($B85,Assumptions!$C$32)+1),INDEX($C$94:$C$111,F$4-MAX($B85,Assumptions!$C$32)+1)))</f>
        <v>0</v>
      </c>
      <c r="G85" s="12" t="n">
        <f aca="false">IF(OR(G$4&lt;Assumptions!$C$32,G$4&lt;$B85),0,G63*IF(G$4&gt;=Assumptions!$C$33,INDEX($D$94:$D$111,G$4-MAX($B85,Assumptions!$C$32)+1),INDEX($C$94:$C$111,G$4-MAX($B85,Assumptions!$C$32)+1)))</f>
        <v>0</v>
      </c>
      <c r="H85" s="12" t="n">
        <f aca="false">IF(OR(H$4&lt;Assumptions!$C$32,H$4&lt;$B85),0,H63*IF(H$4&gt;=Assumptions!$C$33,INDEX($D$94:$D$111,H$4-MAX($B85,Assumptions!$C$32)+1),INDEX($C$94:$C$111,H$4-MAX($B85,Assumptions!$C$32)+1)))</f>
        <v>0</v>
      </c>
      <c r="I85" s="12" t="n">
        <f aca="false">IF(OR(I$4&lt;Assumptions!$C$32,I$4&lt;$B85),0,I63*IF(I$4&gt;=Assumptions!$C$33,INDEX($D$94:$D$111,I$4-MAX($B85,Assumptions!$C$32)+1),INDEX($C$94:$C$111,I$4-MAX($B85,Assumptions!$C$32)+1)))</f>
        <v>0</v>
      </c>
      <c r="J85" s="12" t="n">
        <f aca="false">IF(OR(J$4&lt;Assumptions!$C$32,J$4&lt;$B85),0,J63*IF(J$4&gt;=Assumptions!$C$33,INDEX($D$94:$D$111,J$4-MAX($B85,Assumptions!$C$32)+1),INDEX($C$94:$C$111,J$4-MAX($B85,Assumptions!$C$32)+1)))</f>
        <v>0</v>
      </c>
      <c r="K85" s="12" t="n">
        <f aca="false">IF(OR(K$4&lt;Assumptions!$C$32,K$4&lt;$B85),0,K63*IF(K$4&gt;=Assumptions!$C$33,INDEX($D$94:$D$111,K$4-MAX($B85,Assumptions!$C$32)+1),INDEX($C$94:$C$111,K$4-MAX($B85,Assumptions!$C$32)+1)))</f>
        <v>0</v>
      </c>
      <c r="L85" s="12" t="n">
        <f aca="false">IF(OR(L$4&lt;Assumptions!$C$32,L$4&lt;$B85),0,L63*IF(L$4&gt;=Assumptions!$C$33,INDEX($D$94:$D$111,L$4-MAX($B85,Assumptions!$C$32)+1),INDEX($C$94:$C$111,L$4-MAX($B85,Assumptions!$C$32)+1)))</f>
        <v>0</v>
      </c>
      <c r="M85" s="12" t="n">
        <f aca="false">IF(OR(M$4&lt;Assumptions!$C$32,M$4&lt;$B85),0,M63*IF(M$4&gt;=Assumptions!$C$33,INDEX($D$94:$D$111,M$4-MAX($B85,Assumptions!$C$32)+1),INDEX($C$94:$C$111,M$4-MAX($B85,Assumptions!$C$32)+1)))</f>
        <v>0</v>
      </c>
      <c r="N85" s="12" t="n">
        <f aca="false">IF(OR(N$4&lt;Assumptions!$C$32,N$4&lt;$B85),0,N63*IF(N$4&gt;=Assumptions!$C$33,INDEX($D$94:$D$111,N$4-MAX($B85,Assumptions!$C$32)+1),INDEX($C$94:$C$111,N$4-MAX($B85,Assumptions!$C$32)+1)))</f>
        <v>0</v>
      </c>
      <c r="O85" s="12" t="n">
        <f aca="false">IF(OR(O$4&lt;Assumptions!$C$32,O$4&lt;$B85),0,O63*IF(O$4&gt;=Assumptions!$C$33,INDEX($D$94:$D$111,O$4-MAX($B85,Assumptions!$C$32)+1),INDEX($C$94:$C$111,O$4-MAX($B85,Assumptions!$C$32)+1)))</f>
        <v>0</v>
      </c>
      <c r="P85" s="12" t="n">
        <f aca="false">IF(OR(P$4&lt;Assumptions!$C$32,P$4&lt;$B85),0,P63*IF(P$4&gt;=Assumptions!$C$33,INDEX($D$94:$D$111,P$4-MAX($B85,Assumptions!$C$32)+1),INDEX($C$94:$C$111,P$4-MAX($B85,Assumptions!$C$32)+1)))</f>
        <v>0</v>
      </c>
      <c r="Q85" s="12" t="n">
        <f aca="false">IF(OR(Q$4&lt;Assumptions!$C$32,Q$4&lt;$B85),0,Q63*IF(Q$4&gt;=Assumptions!$C$33,INDEX($D$94:$D$111,Q$4-MAX($B85,Assumptions!$C$32)+1),INDEX($C$94:$C$111,Q$4-MAX($B85,Assumptions!$C$32)+1)))</f>
        <v>0</v>
      </c>
      <c r="R85" s="12" t="n">
        <f aca="false">IF(OR(R$4&lt;Assumptions!$C$32,R$4&lt;$B85),0,R63*IF(R$4&gt;=Assumptions!$C$33,INDEX($D$94:$D$111,R$4-MAX($B85,Assumptions!$C$32)+1),INDEX($C$94:$C$111,R$4-MAX($B85,Assumptions!$C$32)+1)))</f>
        <v>0.9765625</v>
      </c>
      <c r="S85" s="12" t="n">
        <f aca="false">IF(OR(S$4&lt;Assumptions!$C$32,S$4&lt;$B85),0,S63*IF(S$4&gt;=Assumptions!$C$33,INDEX($D$94:$D$111,S$4-MAX($B85,Assumptions!$C$32)+1),INDEX($C$94:$C$111,S$4-MAX($B85,Assumptions!$C$32)+1)))</f>
        <v>1.71875</v>
      </c>
      <c r="T85" s="12" t="n">
        <f aca="false">IF(OR(T$4&lt;Assumptions!$C$32,T$4&lt;$B85),0,T63*IF(T$4&gt;=Assumptions!$C$33,INDEX($D$94:$D$111,T$4-MAX($B85,Assumptions!$C$32)+1),INDEX($C$94:$C$111,T$4-MAX($B85,Assumptions!$C$32)+1)))</f>
        <v>2.26875</v>
      </c>
      <c r="U85" s="12" t="n">
        <f aca="false">IF(OR(U$4&lt;Assumptions!$C$32,U$4&lt;$B85),0,U63*IF(U$4&gt;=Assumptions!$C$33,INDEX($D$94:$D$111,U$4-MAX($B85,Assumptions!$C$32)+1),INDEX($C$94:$C$111,U$4-MAX($B85,Assumptions!$C$32)+1)))</f>
        <v>3.3275</v>
      </c>
    </row>
    <row r="86" customFormat="false" ht="15" hidden="false" customHeight="false" outlineLevel="0" collapsed="false">
      <c r="A86" s="2" t="s">
        <v>281</v>
      </c>
      <c r="B86" s="15" t="n">
        <v>16</v>
      </c>
      <c r="D86" s="12" t="n">
        <f aca="false">IF(OR(D$4&lt;Assumptions!$C$32,D$4&lt;$B86),0,D64*IF(D$4&gt;=Assumptions!$C$33,INDEX($D$94:$D$111,D$4-MAX($B86,Assumptions!$C$32)+1),INDEX($C$94:$C$111,D$4-MAX($B86,Assumptions!$C$32)+1)))</f>
        <v>0</v>
      </c>
      <c r="E86" s="12" t="n">
        <f aca="false">IF(OR(E$4&lt;Assumptions!$C$32,E$4&lt;$B86),0,E64*IF(E$4&gt;=Assumptions!$C$33,INDEX($D$94:$D$111,E$4-MAX($B86,Assumptions!$C$32)+1),INDEX($C$94:$C$111,E$4-MAX($B86,Assumptions!$C$32)+1)))</f>
        <v>0</v>
      </c>
      <c r="F86" s="12" t="n">
        <f aca="false">IF(OR(F$4&lt;Assumptions!$C$32,F$4&lt;$B86),0,F64*IF(F$4&gt;=Assumptions!$C$33,INDEX($D$94:$D$111,F$4-MAX($B86,Assumptions!$C$32)+1),INDEX($C$94:$C$111,F$4-MAX($B86,Assumptions!$C$32)+1)))</f>
        <v>0</v>
      </c>
      <c r="G86" s="12" t="n">
        <f aca="false">IF(OR(G$4&lt;Assumptions!$C$32,G$4&lt;$B86),0,G64*IF(G$4&gt;=Assumptions!$C$33,INDEX($D$94:$D$111,G$4-MAX($B86,Assumptions!$C$32)+1),INDEX($C$94:$C$111,G$4-MAX($B86,Assumptions!$C$32)+1)))</f>
        <v>0</v>
      </c>
      <c r="H86" s="12" t="n">
        <f aca="false">IF(OR(H$4&lt;Assumptions!$C$32,H$4&lt;$B86),0,H64*IF(H$4&gt;=Assumptions!$C$33,INDEX($D$94:$D$111,H$4-MAX($B86,Assumptions!$C$32)+1),INDEX($C$94:$C$111,H$4-MAX($B86,Assumptions!$C$32)+1)))</f>
        <v>0</v>
      </c>
      <c r="I86" s="12" t="n">
        <f aca="false">IF(OR(I$4&lt;Assumptions!$C$32,I$4&lt;$B86),0,I64*IF(I$4&gt;=Assumptions!$C$33,INDEX($D$94:$D$111,I$4-MAX($B86,Assumptions!$C$32)+1),INDEX($C$94:$C$111,I$4-MAX($B86,Assumptions!$C$32)+1)))</f>
        <v>0</v>
      </c>
      <c r="J86" s="12" t="n">
        <f aca="false">IF(OR(J$4&lt;Assumptions!$C$32,J$4&lt;$B86),0,J64*IF(J$4&gt;=Assumptions!$C$33,INDEX($D$94:$D$111,J$4-MAX($B86,Assumptions!$C$32)+1),INDEX($C$94:$C$111,J$4-MAX($B86,Assumptions!$C$32)+1)))</f>
        <v>0</v>
      </c>
      <c r="K86" s="12" t="n">
        <f aca="false">IF(OR(K$4&lt;Assumptions!$C$32,K$4&lt;$B86),0,K64*IF(K$4&gt;=Assumptions!$C$33,INDEX($D$94:$D$111,K$4-MAX($B86,Assumptions!$C$32)+1),INDEX($C$94:$C$111,K$4-MAX($B86,Assumptions!$C$32)+1)))</f>
        <v>0</v>
      </c>
      <c r="L86" s="12" t="n">
        <f aca="false">IF(OR(L$4&lt;Assumptions!$C$32,L$4&lt;$B86),0,L64*IF(L$4&gt;=Assumptions!$C$33,INDEX($D$94:$D$111,L$4-MAX($B86,Assumptions!$C$32)+1),INDEX($C$94:$C$111,L$4-MAX($B86,Assumptions!$C$32)+1)))</f>
        <v>0</v>
      </c>
      <c r="M86" s="12" t="n">
        <f aca="false">IF(OR(M$4&lt;Assumptions!$C$32,M$4&lt;$B86),0,M64*IF(M$4&gt;=Assumptions!$C$33,INDEX($D$94:$D$111,M$4-MAX($B86,Assumptions!$C$32)+1),INDEX($C$94:$C$111,M$4-MAX($B86,Assumptions!$C$32)+1)))</f>
        <v>0</v>
      </c>
      <c r="N86" s="12" t="n">
        <f aca="false">IF(OR(N$4&lt;Assumptions!$C$32,N$4&lt;$B86),0,N64*IF(N$4&gt;=Assumptions!$C$33,INDEX($D$94:$D$111,N$4-MAX($B86,Assumptions!$C$32)+1),INDEX($C$94:$C$111,N$4-MAX($B86,Assumptions!$C$32)+1)))</f>
        <v>0</v>
      </c>
      <c r="O86" s="12" t="n">
        <f aca="false">IF(OR(O$4&lt;Assumptions!$C$32,O$4&lt;$B86),0,O64*IF(O$4&gt;=Assumptions!$C$33,INDEX($D$94:$D$111,O$4-MAX($B86,Assumptions!$C$32)+1),INDEX($C$94:$C$111,O$4-MAX($B86,Assumptions!$C$32)+1)))</f>
        <v>0</v>
      </c>
      <c r="P86" s="12" t="n">
        <f aca="false">IF(OR(P$4&lt;Assumptions!$C$32,P$4&lt;$B86),0,P64*IF(P$4&gt;=Assumptions!$C$33,INDEX($D$94:$D$111,P$4-MAX($B86,Assumptions!$C$32)+1),INDEX($C$94:$C$111,P$4-MAX($B86,Assumptions!$C$32)+1)))</f>
        <v>0</v>
      </c>
      <c r="Q86" s="12" t="n">
        <f aca="false">IF(OR(Q$4&lt;Assumptions!$C$32,Q$4&lt;$B86),0,Q64*IF(Q$4&gt;=Assumptions!$C$33,INDEX($D$94:$D$111,Q$4-MAX($B86,Assumptions!$C$32)+1),INDEX($C$94:$C$111,Q$4-MAX($B86,Assumptions!$C$32)+1)))</f>
        <v>0</v>
      </c>
      <c r="R86" s="12" t="n">
        <f aca="false">IF(OR(R$4&lt;Assumptions!$C$32,R$4&lt;$B86),0,R64*IF(R$4&gt;=Assumptions!$C$33,INDEX($D$94:$D$111,R$4-MAX($B86,Assumptions!$C$32)+1),INDEX($C$94:$C$111,R$4-MAX($B86,Assumptions!$C$32)+1)))</f>
        <v>0</v>
      </c>
      <c r="S86" s="12" t="n">
        <f aca="false">IF(OR(S$4&lt;Assumptions!$C$32,S$4&lt;$B86),0,S64*IF(S$4&gt;=Assumptions!$C$33,INDEX($D$94:$D$111,S$4-MAX($B86,Assumptions!$C$32)+1),INDEX($C$94:$C$111,S$4-MAX($B86,Assumptions!$C$32)+1)))</f>
        <v>0.9765625</v>
      </c>
      <c r="T86" s="12" t="n">
        <f aca="false">IF(OR(T$4&lt;Assumptions!$C$32,T$4&lt;$B86),0,T64*IF(T$4&gt;=Assumptions!$C$33,INDEX($D$94:$D$111,T$4-MAX($B86,Assumptions!$C$32)+1),INDEX($C$94:$C$111,T$4-MAX($B86,Assumptions!$C$32)+1)))</f>
        <v>1.71875</v>
      </c>
      <c r="U86" s="12" t="n">
        <f aca="false">IF(OR(U$4&lt;Assumptions!$C$32,U$4&lt;$B86),0,U64*IF(U$4&gt;=Assumptions!$C$33,INDEX($D$94:$D$111,U$4-MAX($B86,Assumptions!$C$32)+1),INDEX($C$94:$C$111,U$4-MAX($B86,Assumptions!$C$32)+1)))</f>
        <v>2.26875</v>
      </c>
    </row>
    <row r="87" customFormat="false" ht="15" hidden="false" customHeight="false" outlineLevel="0" collapsed="false">
      <c r="A87" s="2" t="s">
        <v>282</v>
      </c>
      <c r="B87" s="15" t="n">
        <v>17</v>
      </c>
      <c r="D87" s="12" t="n">
        <f aca="false">IF(OR(D$4&lt;Assumptions!$C$32,D$4&lt;$B87),0,D65*IF(D$4&gt;=Assumptions!$C$33,INDEX($D$94:$D$111,D$4-MAX($B87,Assumptions!$C$32)+1),INDEX($C$94:$C$111,D$4-MAX($B87,Assumptions!$C$32)+1)))</f>
        <v>0</v>
      </c>
      <c r="E87" s="12" t="n">
        <f aca="false">IF(OR(E$4&lt;Assumptions!$C$32,E$4&lt;$B87),0,E65*IF(E$4&gt;=Assumptions!$C$33,INDEX($D$94:$D$111,E$4-MAX($B87,Assumptions!$C$32)+1),INDEX($C$94:$C$111,E$4-MAX($B87,Assumptions!$C$32)+1)))</f>
        <v>0</v>
      </c>
      <c r="F87" s="12" t="n">
        <f aca="false">IF(OR(F$4&lt;Assumptions!$C$32,F$4&lt;$B87),0,F65*IF(F$4&gt;=Assumptions!$C$33,INDEX($D$94:$D$111,F$4-MAX($B87,Assumptions!$C$32)+1),INDEX($C$94:$C$111,F$4-MAX($B87,Assumptions!$C$32)+1)))</f>
        <v>0</v>
      </c>
      <c r="G87" s="12" t="n">
        <f aca="false">IF(OR(G$4&lt;Assumptions!$C$32,G$4&lt;$B87),0,G65*IF(G$4&gt;=Assumptions!$C$33,INDEX($D$94:$D$111,G$4-MAX($B87,Assumptions!$C$32)+1),INDEX($C$94:$C$111,G$4-MAX($B87,Assumptions!$C$32)+1)))</f>
        <v>0</v>
      </c>
      <c r="H87" s="12" t="n">
        <f aca="false">IF(OR(H$4&lt;Assumptions!$C$32,H$4&lt;$B87),0,H65*IF(H$4&gt;=Assumptions!$C$33,INDEX($D$94:$D$111,H$4-MAX($B87,Assumptions!$C$32)+1),INDEX($C$94:$C$111,H$4-MAX($B87,Assumptions!$C$32)+1)))</f>
        <v>0</v>
      </c>
      <c r="I87" s="12" t="n">
        <f aca="false">IF(OR(I$4&lt;Assumptions!$C$32,I$4&lt;$B87),0,I65*IF(I$4&gt;=Assumptions!$C$33,INDEX($D$94:$D$111,I$4-MAX($B87,Assumptions!$C$32)+1),INDEX($C$94:$C$111,I$4-MAX($B87,Assumptions!$C$32)+1)))</f>
        <v>0</v>
      </c>
      <c r="J87" s="12" t="n">
        <f aca="false">IF(OR(J$4&lt;Assumptions!$C$32,J$4&lt;$B87),0,J65*IF(J$4&gt;=Assumptions!$C$33,INDEX($D$94:$D$111,J$4-MAX($B87,Assumptions!$C$32)+1),INDEX($C$94:$C$111,J$4-MAX($B87,Assumptions!$C$32)+1)))</f>
        <v>0</v>
      </c>
      <c r="K87" s="12" t="n">
        <f aca="false">IF(OR(K$4&lt;Assumptions!$C$32,K$4&lt;$B87),0,K65*IF(K$4&gt;=Assumptions!$C$33,INDEX($D$94:$D$111,K$4-MAX($B87,Assumptions!$C$32)+1),INDEX($C$94:$C$111,K$4-MAX($B87,Assumptions!$C$32)+1)))</f>
        <v>0</v>
      </c>
      <c r="L87" s="12" t="n">
        <f aca="false">IF(OR(L$4&lt;Assumptions!$C$32,L$4&lt;$B87),0,L65*IF(L$4&gt;=Assumptions!$C$33,INDEX($D$94:$D$111,L$4-MAX($B87,Assumptions!$C$32)+1),INDEX($C$94:$C$111,L$4-MAX($B87,Assumptions!$C$32)+1)))</f>
        <v>0</v>
      </c>
      <c r="M87" s="12" t="n">
        <f aca="false">IF(OR(M$4&lt;Assumptions!$C$32,M$4&lt;$B87),0,M65*IF(M$4&gt;=Assumptions!$C$33,INDEX($D$94:$D$111,M$4-MAX($B87,Assumptions!$C$32)+1),INDEX($C$94:$C$111,M$4-MAX($B87,Assumptions!$C$32)+1)))</f>
        <v>0</v>
      </c>
      <c r="N87" s="12" t="n">
        <f aca="false">IF(OR(N$4&lt;Assumptions!$C$32,N$4&lt;$B87),0,N65*IF(N$4&gt;=Assumptions!$C$33,INDEX($D$94:$D$111,N$4-MAX($B87,Assumptions!$C$32)+1),INDEX($C$94:$C$111,N$4-MAX($B87,Assumptions!$C$32)+1)))</f>
        <v>0</v>
      </c>
      <c r="O87" s="12" t="n">
        <f aca="false">IF(OR(O$4&lt;Assumptions!$C$32,O$4&lt;$B87),0,O65*IF(O$4&gt;=Assumptions!$C$33,INDEX($D$94:$D$111,O$4-MAX($B87,Assumptions!$C$32)+1),INDEX($C$94:$C$111,O$4-MAX($B87,Assumptions!$C$32)+1)))</f>
        <v>0</v>
      </c>
      <c r="P87" s="12" t="n">
        <f aca="false">IF(OR(P$4&lt;Assumptions!$C$32,P$4&lt;$B87),0,P65*IF(P$4&gt;=Assumptions!$C$33,INDEX($D$94:$D$111,P$4-MAX($B87,Assumptions!$C$32)+1),INDEX($C$94:$C$111,P$4-MAX($B87,Assumptions!$C$32)+1)))</f>
        <v>0</v>
      </c>
      <c r="Q87" s="12" t="n">
        <f aca="false">IF(OR(Q$4&lt;Assumptions!$C$32,Q$4&lt;$B87),0,Q65*IF(Q$4&gt;=Assumptions!$C$33,INDEX($D$94:$D$111,Q$4-MAX($B87,Assumptions!$C$32)+1),INDEX($C$94:$C$111,Q$4-MAX($B87,Assumptions!$C$32)+1)))</f>
        <v>0</v>
      </c>
      <c r="R87" s="12" t="n">
        <f aca="false">IF(OR(R$4&lt;Assumptions!$C$32,R$4&lt;$B87),0,R65*IF(R$4&gt;=Assumptions!$C$33,INDEX($D$94:$D$111,R$4-MAX($B87,Assumptions!$C$32)+1),INDEX($C$94:$C$111,R$4-MAX($B87,Assumptions!$C$32)+1)))</f>
        <v>0</v>
      </c>
      <c r="S87" s="12" t="n">
        <f aca="false">IF(OR(S$4&lt;Assumptions!$C$32,S$4&lt;$B87),0,S65*IF(S$4&gt;=Assumptions!$C$33,INDEX($D$94:$D$111,S$4-MAX($B87,Assumptions!$C$32)+1),INDEX($C$94:$C$111,S$4-MAX($B87,Assumptions!$C$32)+1)))</f>
        <v>0</v>
      </c>
      <c r="T87" s="12" t="n">
        <f aca="false">IF(OR(T$4&lt;Assumptions!$C$32,T$4&lt;$B87),0,T65*IF(T$4&gt;=Assumptions!$C$33,INDEX($D$94:$D$111,T$4-MAX($B87,Assumptions!$C$32)+1),INDEX($C$94:$C$111,T$4-MAX($B87,Assumptions!$C$32)+1)))</f>
        <v>0.78125</v>
      </c>
      <c r="U87" s="12" t="n">
        <f aca="false">IF(OR(U$4&lt;Assumptions!$C$32,U$4&lt;$B87),0,U65*IF(U$4&gt;=Assumptions!$C$33,INDEX($D$94:$D$111,U$4-MAX($B87,Assumptions!$C$32)+1),INDEX($C$94:$C$111,U$4-MAX($B87,Assumptions!$C$32)+1)))</f>
        <v>1.375</v>
      </c>
    </row>
    <row r="88" customFormat="false" ht="15" hidden="false" customHeight="false" outlineLevel="0" collapsed="false">
      <c r="A88" s="2" t="s">
        <v>283</v>
      </c>
      <c r="B88" s="15" t="n">
        <v>18</v>
      </c>
      <c r="D88" s="12" t="n">
        <f aca="false">IF(OR(D$4&lt;Assumptions!$C$32,D$4&lt;$B88),0,D66*IF(D$4&gt;=Assumptions!$C$33,INDEX($D$94:$D$111,D$4-MAX($B88,Assumptions!$C$32)+1),INDEX($C$94:$C$111,D$4-MAX($B88,Assumptions!$C$32)+1)))</f>
        <v>0</v>
      </c>
      <c r="E88" s="12" t="n">
        <f aca="false">IF(OR(E$4&lt;Assumptions!$C$32,E$4&lt;$B88),0,E66*IF(E$4&gt;=Assumptions!$C$33,INDEX($D$94:$D$111,E$4-MAX($B88,Assumptions!$C$32)+1),INDEX($C$94:$C$111,E$4-MAX($B88,Assumptions!$C$32)+1)))</f>
        <v>0</v>
      </c>
      <c r="F88" s="12" t="n">
        <f aca="false">IF(OR(F$4&lt;Assumptions!$C$32,F$4&lt;$B88),0,F66*IF(F$4&gt;=Assumptions!$C$33,INDEX($D$94:$D$111,F$4-MAX($B88,Assumptions!$C$32)+1),INDEX($C$94:$C$111,F$4-MAX($B88,Assumptions!$C$32)+1)))</f>
        <v>0</v>
      </c>
      <c r="G88" s="12" t="n">
        <f aca="false">IF(OR(G$4&lt;Assumptions!$C$32,G$4&lt;$B88),0,G66*IF(G$4&gt;=Assumptions!$C$33,INDEX($D$94:$D$111,G$4-MAX($B88,Assumptions!$C$32)+1),INDEX($C$94:$C$111,G$4-MAX($B88,Assumptions!$C$32)+1)))</f>
        <v>0</v>
      </c>
      <c r="H88" s="12" t="n">
        <f aca="false">IF(OR(H$4&lt;Assumptions!$C$32,H$4&lt;$B88),0,H66*IF(H$4&gt;=Assumptions!$C$33,INDEX($D$94:$D$111,H$4-MAX($B88,Assumptions!$C$32)+1),INDEX($C$94:$C$111,H$4-MAX($B88,Assumptions!$C$32)+1)))</f>
        <v>0</v>
      </c>
      <c r="I88" s="12" t="n">
        <f aca="false">IF(OR(I$4&lt;Assumptions!$C$32,I$4&lt;$B88),0,I66*IF(I$4&gt;=Assumptions!$C$33,INDEX($D$94:$D$111,I$4-MAX($B88,Assumptions!$C$32)+1),INDEX($C$94:$C$111,I$4-MAX($B88,Assumptions!$C$32)+1)))</f>
        <v>0</v>
      </c>
      <c r="J88" s="12" t="n">
        <f aca="false">IF(OR(J$4&lt;Assumptions!$C$32,J$4&lt;$B88),0,J66*IF(J$4&gt;=Assumptions!$C$33,INDEX($D$94:$D$111,J$4-MAX($B88,Assumptions!$C$32)+1),INDEX($C$94:$C$111,J$4-MAX($B88,Assumptions!$C$32)+1)))</f>
        <v>0</v>
      </c>
      <c r="K88" s="12" t="n">
        <f aca="false">IF(OR(K$4&lt;Assumptions!$C$32,K$4&lt;$B88),0,K66*IF(K$4&gt;=Assumptions!$C$33,INDEX($D$94:$D$111,K$4-MAX($B88,Assumptions!$C$32)+1),INDEX($C$94:$C$111,K$4-MAX($B88,Assumptions!$C$32)+1)))</f>
        <v>0</v>
      </c>
      <c r="L88" s="12" t="n">
        <f aca="false">IF(OR(L$4&lt;Assumptions!$C$32,L$4&lt;$B88),0,L66*IF(L$4&gt;=Assumptions!$C$33,INDEX($D$94:$D$111,L$4-MAX($B88,Assumptions!$C$32)+1),INDEX($C$94:$C$111,L$4-MAX($B88,Assumptions!$C$32)+1)))</f>
        <v>0</v>
      </c>
      <c r="M88" s="12" t="n">
        <f aca="false">IF(OR(M$4&lt;Assumptions!$C$32,M$4&lt;$B88),0,M66*IF(M$4&gt;=Assumptions!$C$33,INDEX($D$94:$D$111,M$4-MAX($B88,Assumptions!$C$32)+1),INDEX($C$94:$C$111,M$4-MAX($B88,Assumptions!$C$32)+1)))</f>
        <v>0</v>
      </c>
      <c r="N88" s="12" t="n">
        <f aca="false">IF(OR(N$4&lt;Assumptions!$C$32,N$4&lt;$B88),0,N66*IF(N$4&gt;=Assumptions!$C$33,INDEX($D$94:$D$111,N$4-MAX($B88,Assumptions!$C$32)+1),INDEX($C$94:$C$111,N$4-MAX($B88,Assumptions!$C$32)+1)))</f>
        <v>0</v>
      </c>
      <c r="O88" s="12" t="n">
        <f aca="false">IF(OR(O$4&lt;Assumptions!$C$32,O$4&lt;$B88),0,O66*IF(O$4&gt;=Assumptions!$C$33,INDEX($D$94:$D$111,O$4-MAX($B88,Assumptions!$C$32)+1),INDEX($C$94:$C$111,O$4-MAX($B88,Assumptions!$C$32)+1)))</f>
        <v>0</v>
      </c>
      <c r="P88" s="12" t="n">
        <f aca="false">IF(OR(P$4&lt;Assumptions!$C$32,P$4&lt;$B88),0,P66*IF(P$4&gt;=Assumptions!$C$33,INDEX($D$94:$D$111,P$4-MAX($B88,Assumptions!$C$32)+1),INDEX($C$94:$C$111,P$4-MAX($B88,Assumptions!$C$32)+1)))</f>
        <v>0</v>
      </c>
      <c r="Q88" s="12" t="n">
        <f aca="false">IF(OR(Q$4&lt;Assumptions!$C$32,Q$4&lt;$B88),0,Q66*IF(Q$4&gt;=Assumptions!$C$33,INDEX($D$94:$D$111,Q$4-MAX($B88,Assumptions!$C$32)+1),INDEX($C$94:$C$111,Q$4-MAX($B88,Assumptions!$C$32)+1)))</f>
        <v>0</v>
      </c>
      <c r="R88" s="12" t="n">
        <f aca="false">IF(OR(R$4&lt;Assumptions!$C$32,R$4&lt;$B88),0,R66*IF(R$4&gt;=Assumptions!$C$33,INDEX($D$94:$D$111,R$4-MAX($B88,Assumptions!$C$32)+1),INDEX($C$94:$C$111,R$4-MAX($B88,Assumptions!$C$32)+1)))</f>
        <v>0</v>
      </c>
      <c r="S88" s="12" t="n">
        <f aca="false">IF(OR(S$4&lt;Assumptions!$C$32,S$4&lt;$B88),0,S66*IF(S$4&gt;=Assumptions!$C$33,INDEX($D$94:$D$111,S$4-MAX($B88,Assumptions!$C$32)+1),INDEX($C$94:$C$111,S$4-MAX($B88,Assumptions!$C$32)+1)))</f>
        <v>0</v>
      </c>
      <c r="T88" s="12" t="n">
        <f aca="false">IF(OR(T$4&lt;Assumptions!$C$32,T$4&lt;$B88),0,T66*IF(T$4&gt;=Assumptions!$C$33,INDEX($D$94:$D$111,T$4-MAX($B88,Assumptions!$C$32)+1),INDEX($C$94:$C$111,T$4-MAX($B88,Assumptions!$C$32)+1)))</f>
        <v>0</v>
      </c>
      <c r="U88" s="12" t="n">
        <f aca="false">IF(OR(U$4&lt;Assumptions!$C$32,U$4&lt;$B88),0,U66*IF(U$4&gt;=Assumptions!$C$33,INDEX($D$94:$D$111,U$4-MAX($B88,Assumptions!$C$32)+1),INDEX($C$94:$C$111,U$4-MAX($B88,Assumptions!$C$32)+1)))</f>
        <v>0.78125</v>
      </c>
    </row>
    <row r="92" customFormat="false" ht="15" hidden="false" customHeight="false" outlineLevel="0" collapsed="false">
      <c r="A92" s="6" t="s">
        <v>285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customFormat="false" ht="23.85" hidden="false" customHeight="false" outlineLevel="0" collapsed="false">
      <c r="A93" s="5" t="s">
        <v>286</v>
      </c>
      <c r="B93" s="5" t="s">
        <v>287</v>
      </c>
      <c r="C93" s="5" t="s">
        <v>288</v>
      </c>
      <c r="D93" s="5" t="s">
        <v>289</v>
      </c>
    </row>
    <row r="94" customFormat="false" ht="15" hidden="false" customHeight="false" outlineLevel="0" collapsed="false">
      <c r="A94" s="2" t="s">
        <v>290</v>
      </c>
      <c r="B94" s="15" t="n">
        <v>1</v>
      </c>
      <c r="C94" s="19" t="n">
        <f aca="false">Assumptions!$C$36*IF($B94&lt;=3,INDEX(Assumptions!$C$48:$C$53,$B94),INDEX(Assumptions!$C$48:$C$53,4))</f>
        <v>0.00025</v>
      </c>
      <c r="D94" s="19" t="n">
        <f aca="false">Assumptions!$C$36*IF($B94&lt;=3,INDEX(Assumptions!$C$48:$C$53,$B94),IF($B94&lt;5,INDEX(Assumptions!$C$48:$C$53,4),IF($B94&lt;8,(1-Assumptions!$C$37)*INDEX(Assumptions!$C$48:$C$53,4)+Assumptions!$C$37*INDEX(Assumptions!$C$48:$C$53,5),(1-Assumptions!$C$37)*INDEX(Assumptions!$C$48:$C$53,4)+Assumptions!$C$37*INDEX(Assumptions!$C$48:$C$53,6))))</f>
        <v>0.00025</v>
      </c>
    </row>
    <row r="95" customFormat="false" ht="15" hidden="false" customHeight="false" outlineLevel="0" collapsed="false">
      <c r="A95" s="2" t="s">
        <v>291</v>
      </c>
      <c r="B95" s="15" t="n">
        <v>2</v>
      </c>
      <c r="C95" s="19" t="n">
        <f aca="false">Assumptions!$C$36*IF($B95&lt;=3,INDEX(Assumptions!$C$48:$C$53,$B95),INDEX(Assumptions!$C$48:$C$53,4))</f>
        <v>0.0005</v>
      </c>
      <c r="D95" s="19" t="n">
        <f aca="false">Assumptions!$C$36*IF($B95&lt;=3,INDEX(Assumptions!$C$48:$C$53,$B95),IF($B95&lt;5,INDEX(Assumptions!$C$48:$C$53,4),IF($B95&lt;8,(1-Assumptions!$C$37)*INDEX(Assumptions!$C$48:$C$53,4)+Assumptions!$C$37*INDEX(Assumptions!$C$48:$C$53,5),(1-Assumptions!$C$37)*INDEX(Assumptions!$C$48:$C$53,4)+Assumptions!$C$37*INDEX(Assumptions!$C$48:$C$53,6))))</f>
        <v>0.0005</v>
      </c>
    </row>
    <row r="96" customFormat="false" ht="15" hidden="false" customHeight="false" outlineLevel="0" collapsed="false">
      <c r="A96" s="2" t="s">
        <v>292</v>
      </c>
      <c r="B96" s="15" t="n">
        <v>3</v>
      </c>
      <c r="C96" s="19" t="n">
        <f aca="false">Assumptions!$C$36*IF($B96&lt;=3,INDEX(Assumptions!$C$48:$C$53,$B96),INDEX(Assumptions!$C$48:$C$53,4))</f>
        <v>0.00075</v>
      </c>
      <c r="D96" s="19" t="n">
        <f aca="false">Assumptions!$C$36*IF($B96&lt;=3,INDEX(Assumptions!$C$48:$C$53,$B96),IF($B96&lt;5,INDEX(Assumptions!$C$48:$C$53,4),IF($B96&lt;8,(1-Assumptions!$C$37)*INDEX(Assumptions!$C$48:$C$53,4)+Assumptions!$C$37*INDEX(Assumptions!$C$48:$C$53,5),(1-Assumptions!$C$37)*INDEX(Assumptions!$C$48:$C$53,4)+Assumptions!$C$37*INDEX(Assumptions!$C$48:$C$53,6))))</f>
        <v>0.00075</v>
      </c>
    </row>
    <row r="97" customFormat="false" ht="15" hidden="false" customHeight="false" outlineLevel="0" collapsed="false">
      <c r="A97" s="2" t="s">
        <v>293</v>
      </c>
      <c r="B97" s="15" t="n">
        <v>4</v>
      </c>
      <c r="C97" s="19" t="n">
        <f aca="false">Assumptions!$C$36*IF($B97&lt;=3,INDEX(Assumptions!$C$48:$C$53,$B97),INDEX(Assumptions!$C$48:$C$53,4))</f>
        <v>0.00125</v>
      </c>
      <c r="D97" s="19" t="n">
        <f aca="false">Assumptions!$C$36*IF($B97&lt;=3,INDEX(Assumptions!$C$48:$C$53,$B97),IF($B97&lt;5,INDEX(Assumptions!$C$48:$C$53,4),IF($B97&lt;8,(1-Assumptions!$C$37)*INDEX(Assumptions!$C$48:$C$53,4)+Assumptions!$C$37*INDEX(Assumptions!$C$48:$C$53,5),(1-Assumptions!$C$37)*INDEX(Assumptions!$C$48:$C$53,4)+Assumptions!$C$37*INDEX(Assumptions!$C$48:$C$53,6))))</f>
        <v>0.00125</v>
      </c>
    </row>
    <row r="98" customFormat="false" ht="15" hidden="false" customHeight="false" outlineLevel="0" collapsed="false">
      <c r="A98" s="2" t="s">
        <v>294</v>
      </c>
      <c r="B98" s="15" t="n">
        <v>5</v>
      </c>
      <c r="C98" s="19" t="n">
        <f aca="false">Assumptions!$C$36*IF($B98&lt;=3,INDEX(Assumptions!$C$48:$C$53,$B98),INDEX(Assumptions!$C$48:$C$53,4))</f>
        <v>0.00125</v>
      </c>
      <c r="D98" s="19" t="n">
        <f aca="false">Assumptions!$C$36*IF($B98&lt;=3,INDEX(Assumptions!$C$48:$C$53,$B98),IF($B98&lt;5,INDEX(Assumptions!$C$48:$C$53,4),IF($B98&lt;8,(1-Assumptions!$C$37)*INDEX(Assumptions!$C$48:$C$53,4)+Assumptions!$C$37*INDEX(Assumptions!$C$48:$C$53,5),(1-Assumptions!$C$37)*INDEX(Assumptions!$C$48:$C$53,4)+Assumptions!$C$37*INDEX(Assumptions!$C$48:$C$53,6))))</f>
        <v>0.001275</v>
      </c>
    </row>
    <row r="99" customFormat="false" ht="15" hidden="false" customHeight="false" outlineLevel="0" collapsed="false">
      <c r="A99" s="2" t="s">
        <v>295</v>
      </c>
      <c r="B99" s="15" t="n">
        <v>6</v>
      </c>
      <c r="C99" s="19" t="n">
        <f aca="false">Assumptions!$C$36*IF($B99&lt;=3,INDEX(Assumptions!$C$48:$C$53,$B99),INDEX(Assumptions!$C$48:$C$53,4))</f>
        <v>0.00125</v>
      </c>
      <c r="D99" s="19" t="n">
        <f aca="false">Assumptions!$C$36*IF($B99&lt;=3,INDEX(Assumptions!$C$48:$C$53,$B99),IF($B99&lt;5,INDEX(Assumptions!$C$48:$C$53,4),IF($B99&lt;8,(1-Assumptions!$C$37)*INDEX(Assumptions!$C$48:$C$53,4)+Assumptions!$C$37*INDEX(Assumptions!$C$48:$C$53,5),(1-Assumptions!$C$37)*INDEX(Assumptions!$C$48:$C$53,4)+Assumptions!$C$37*INDEX(Assumptions!$C$48:$C$53,6))))</f>
        <v>0.001275</v>
      </c>
    </row>
    <row r="100" customFormat="false" ht="15" hidden="false" customHeight="false" outlineLevel="0" collapsed="false">
      <c r="A100" s="2" t="s">
        <v>296</v>
      </c>
      <c r="B100" s="15" t="n">
        <v>7</v>
      </c>
      <c r="C100" s="19" t="n">
        <f aca="false">Assumptions!$C$36*IF($B100&lt;=3,INDEX(Assumptions!$C$48:$C$53,$B100),INDEX(Assumptions!$C$48:$C$53,4))</f>
        <v>0.00125</v>
      </c>
      <c r="D100" s="19" t="n">
        <f aca="false">Assumptions!$C$36*IF($B100&lt;=3,INDEX(Assumptions!$C$48:$C$53,$B100),IF($B100&lt;5,INDEX(Assumptions!$C$48:$C$53,4),IF($B100&lt;8,(1-Assumptions!$C$37)*INDEX(Assumptions!$C$48:$C$53,4)+Assumptions!$C$37*INDEX(Assumptions!$C$48:$C$53,5),(1-Assumptions!$C$37)*INDEX(Assumptions!$C$48:$C$53,4)+Assumptions!$C$37*INDEX(Assumptions!$C$48:$C$53,6))))</f>
        <v>0.001275</v>
      </c>
    </row>
    <row r="101" customFormat="false" ht="15" hidden="false" customHeight="false" outlineLevel="0" collapsed="false">
      <c r="A101" s="2" t="s">
        <v>297</v>
      </c>
      <c r="B101" s="15" t="n">
        <v>8</v>
      </c>
      <c r="C101" s="19" t="n">
        <f aca="false">Assumptions!$C$36*IF($B101&lt;=3,INDEX(Assumptions!$C$48:$C$53,$B101),INDEX(Assumptions!$C$48:$C$53,4))</f>
        <v>0.00125</v>
      </c>
      <c r="D101" s="19" t="n">
        <f aca="false">Assumptions!$C$36*IF($B101&lt;=3,INDEX(Assumptions!$C$48:$C$53,$B101),IF($B101&lt;5,INDEX(Assumptions!$C$48:$C$53,4),IF($B101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02" customFormat="false" ht="15" hidden="false" customHeight="false" outlineLevel="0" collapsed="false">
      <c r="A102" s="2" t="s">
        <v>298</v>
      </c>
      <c r="B102" s="15" t="n">
        <v>9</v>
      </c>
      <c r="C102" s="19" t="n">
        <f aca="false">Assumptions!$C$36*IF($B102&lt;=3,INDEX(Assumptions!$C$48:$C$53,$B102),INDEX(Assumptions!$C$48:$C$53,4))</f>
        <v>0.00125</v>
      </c>
      <c r="D102" s="19" t="n">
        <f aca="false">Assumptions!$C$36*IF($B102&lt;=3,INDEX(Assumptions!$C$48:$C$53,$B102),IF($B102&lt;5,INDEX(Assumptions!$C$48:$C$53,4),IF($B102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03" customFormat="false" ht="15" hidden="false" customHeight="false" outlineLevel="0" collapsed="false">
      <c r="A103" s="2" t="s">
        <v>299</v>
      </c>
      <c r="B103" s="15" t="n">
        <v>10</v>
      </c>
      <c r="C103" s="19" t="n">
        <f aca="false">Assumptions!$C$36*IF($B103&lt;=3,INDEX(Assumptions!$C$48:$C$53,$B103),INDEX(Assumptions!$C$48:$C$53,4))</f>
        <v>0.00125</v>
      </c>
      <c r="D103" s="19" t="n">
        <f aca="false">Assumptions!$C$36*IF($B103&lt;=3,INDEX(Assumptions!$C$48:$C$53,$B103),IF($B103&lt;5,INDEX(Assumptions!$C$48:$C$53,4),IF($B103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04" customFormat="false" ht="15" hidden="false" customHeight="false" outlineLevel="0" collapsed="false">
      <c r="A104" s="2" t="s">
        <v>300</v>
      </c>
      <c r="B104" s="15" t="n">
        <v>11</v>
      </c>
      <c r="C104" s="19" t="n">
        <f aca="false">Assumptions!$C$36*IF($B104&lt;=3,INDEX(Assumptions!$C$48:$C$53,$B104),INDEX(Assumptions!$C$48:$C$53,4))</f>
        <v>0.00125</v>
      </c>
      <c r="D104" s="19" t="n">
        <f aca="false">Assumptions!$C$36*IF($B104&lt;=3,INDEX(Assumptions!$C$48:$C$53,$B104),IF($B104&lt;5,INDEX(Assumptions!$C$48:$C$53,4),IF($B104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05" customFormat="false" ht="15" hidden="false" customHeight="false" outlineLevel="0" collapsed="false">
      <c r="A105" s="2" t="s">
        <v>301</v>
      </c>
      <c r="B105" s="15" t="n">
        <v>12</v>
      </c>
      <c r="C105" s="19" t="n">
        <f aca="false">Assumptions!$C$36*IF($B105&lt;=3,INDEX(Assumptions!$C$48:$C$53,$B105),INDEX(Assumptions!$C$48:$C$53,4))</f>
        <v>0.00125</v>
      </c>
      <c r="D105" s="19" t="n">
        <f aca="false">Assumptions!$C$36*IF($B105&lt;=3,INDEX(Assumptions!$C$48:$C$53,$B105),IF($B105&lt;5,INDEX(Assumptions!$C$48:$C$53,4),IF($B105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06" customFormat="false" ht="15" hidden="false" customHeight="false" outlineLevel="0" collapsed="false">
      <c r="A106" s="2" t="s">
        <v>302</v>
      </c>
      <c r="B106" s="15" t="n">
        <v>13</v>
      </c>
      <c r="C106" s="19" t="n">
        <f aca="false">Assumptions!$C$36*IF($B106&lt;=3,INDEX(Assumptions!$C$48:$C$53,$B106),INDEX(Assumptions!$C$48:$C$53,4))</f>
        <v>0.00125</v>
      </c>
      <c r="D106" s="19" t="n">
        <f aca="false">Assumptions!$C$36*IF($B106&lt;=3,INDEX(Assumptions!$C$48:$C$53,$B106),IF($B106&lt;5,INDEX(Assumptions!$C$48:$C$53,4),IF($B106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07" customFormat="false" ht="15" hidden="false" customHeight="false" outlineLevel="0" collapsed="false">
      <c r="A107" s="2" t="s">
        <v>303</v>
      </c>
      <c r="B107" s="15" t="n">
        <v>14</v>
      </c>
      <c r="C107" s="19" t="n">
        <f aca="false">Assumptions!$C$36*IF($B107&lt;=3,INDEX(Assumptions!$C$48:$C$53,$B107),INDEX(Assumptions!$C$48:$C$53,4))</f>
        <v>0.00125</v>
      </c>
      <c r="D107" s="19" t="n">
        <f aca="false">Assumptions!$C$36*IF($B107&lt;=3,INDEX(Assumptions!$C$48:$C$53,$B107),IF($B107&lt;5,INDEX(Assumptions!$C$48:$C$53,4),IF($B107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08" customFormat="false" ht="15" hidden="false" customHeight="false" outlineLevel="0" collapsed="false">
      <c r="A108" s="2" t="s">
        <v>304</v>
      </c>
      <c r="B108" s="15" t="n">
        <v>15</v>
      </c>
      <c r="C108" s="19" t="n">
        <f aca="false">Assumptions!$C$36*IF($B108&lt;=3,INDEX(Assumptions!$C$48:$C$53,$B108),INDEX(Assumptions!$C$48:$C$53,4))</f>
        <v>0.00125</v>
      </c>
      <c r="D108" s="19" t="n">
        <f aca="false">Assumptions!$C$36*IF($B108&lt;=3,INDEX(Assumptions!$C$48:$C$53,$B108),IF($B108&lt;5,INDEX(Assumptions!$C$48:$C$53,4),IF($B108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09" customFormat="false" ht="15" hidden="false" customHeight="false" outlineLevel="0" collapsed="false">
      <c r="A109" s="2" t="s">
        <v>305</v>
      </c>
      <c r="B109" s="15" t="n">
        <v>16</v>
      </c>
      <c r="C109" s="19" t="n">
        <f aca="false">Assumptions!$C$36*IF($B109&lt;=3,INDEX(Assumptions!$C$48:$C$53,$B109),INDEX(Assumptions!$C$48:$C$53,4))</f>
        <v>0.00125</v>
      </c>
      <c r="D109" s="19" t="n">
        <f aca="false">Assumptions!$C$36*IF($B109&lt;=3,INDEX(Assumptions!$C$48:$C$53,$B109),IF($B109&lt;5,INDEX(Assumptions!$C$48:$C$53,4),IF($B109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10" customFormat="false" ht="15" hidden="false" customHeight="false" outlineLevel="0" collapsed="false">
      <c r="A110" s="2" t="s">
        <v>306</v>
      </c>
      <c r="B110" s="15" t="n">
        <v>17</v>
      </c>
      <c r="C110" s="19" t="n">
        <f aca="false">Assumptions!$C$36*IF($B110&lt;=3,INDEX(Assumptions!$C$48:$C$53,$B110),INDEX(Assumptions!$C$48:$C$53,4))</f>
        <v>0.00125</v>
      </c>
      <c r="D110" s="19" t="n">
        <f aca="false">Assumptions!$C$36*IF($B110&lt;=3,INDEX(Assumptions!$C$48:$C$53,$B110),IF($B110&lt;5,INDEX(Assumptions!$C$48:$C$53,4),IF($B110&lt;8,(1-Assumptions!$C$37)*INDEX(Assumptions!$C$48:$C$53,4)+Assumptions!$C$37*INDEX(Assumptions!$C$48:$C$53,5),(1-Assumptions!$C$37)*INDEX(Assumptions!$C$48:$C$53,4)+Assumptions!$C$37*INDEX(Assumptions!$C$48:$C$53,6))))</f>
        <v>0.001325</v>
      </c>
    </row>
    <row r="111" customFormat="false" ht="15" hidden="false" customHeight="false" outlineLevel="0" collapsed="false">
      <c r="A111" s="2" t="s">
        <v>307</v>
      </c>
      <c r="B111" s="15" t="n">
        <v>18</v>
      </c>
      <c r="C111" s="19" t="n">
        <f aca="false">Assumptions!$C$36*IF($B111&lt;=3,INDEX(Assumptions!$C$48:$C$53,$B111),INDEX(Assumptions!$C$48:$C$53,4))</f>
        <v>0.00125</v>
      </c>
      <c r="D111" s="19" t="n">
        <f aca="false">Assumptions!$C$36*IF($B111&lt;=3,INDEX(Assumptions!$C$48:$C$53,$B111),IF($B111&lt;5,INDEX(Assumptions!$C$48:$C$53,4),IF($B111&lt;8,(1-Assumptions!$C$37)*INDEX(Assumptions!$C$48:$C$53,4)+Assumptions!$C$37*INDEX(Assumptions!$C$48:$C$53,5),(1-Assumptions!$C$37)*INDEX(Assumptions!$C$48:$C$53,4)+Assumptions!$C$37*INDEX(Assumptions!$C$48:$C$53,6))))</f>
        <v>0.001325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21" min="4" style="0" width="10"/>
  </cols>
  <sheetData>
    <row r="1" customFormat="false" ht="17.35" hidden="false" customHeight="false" outlineLevel="0" collapsed="false">
      <c r="A1" s="3" t="s">
        <v>308</v>
      </c>
    </row>
    <row r="2" customFormat="false" ht="15" hidden="false" customHeight="false" outlineLevel="0" collapsed="false">
      <c r="A2" s="4" t="s">
        <v>216</v>
      </c>
    </row>
    <row r="3" customFormat="false" ht="15" hidden="false" customHeight="false" outlineLevel="0" collapsed="false">
      <c r="A3" s="5" t="s">
        <v>217</v>
      </c>
      <c r="B3" s="5" t="s">
        <v>16</v>
      </c>
      <c r="C3" s="5" t="s">
        <v>218</v>
      </c>
      <c r="D3" s="5" t="s">
        <v>195</v>
      </c>
      <c r="E3" s="5" t="s">
        <v>196</v>
      </c>
      <c r="F3" s="5" t="s">
        <v>197</v>
      </c>
      <c r="G3" s="5" t="s">
        <v>198</v>
      </c>
      <c r="H3" s="5" t="s">
        <v>199</v>
      </c>
      <c r="I3" s="5" t="s">
        <v>200</v>
      </c>
      <c r="J3" s="5" t="s">
        <v>201</v>
      </c>
      <c r="K3" s="5" t="s">
        <v>202</v>
      </c>
      <c r="L3" s="5" t="s">
        <v>203</v>
      </c>
      <c r="M3" s="5" t="s">
        <v>204</v>
      </c>
      <c r="N3" s="5" t="s">
        <v>205</v>
      </c>
      <c r="O3" s="5" t="s">
        <v>206</v>
      </c>
      <c r="P3" s="5" t="s">
        <v>207</v>
      </c>
      <c r="Q3" s="5" t="s">
        <v>208</v>
      </c>
      <c r="R3" s="5" t="s">
        <v>209</v>
      </c>
      <c r="S3" s="5" t="s">
        <v>210</v>
      </c>
      <c r="T3" s="5" t="s">
        <v>211</v>
      </c>
      <c r="U3" s="5" t="s">
        <v>212</v>
      </c>
    </row>
    <row r="4" customFormat="false" ht="15" hidden="false" customHeight="false" outlineLevel="0" collapsed="false">
      <c r="A4" s="2" t="s">
        <v>219</v>
      </c>
      <c r="B4" s="2" t="s">
        <v>220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5</v>
      </c>
      <c r="I4" s="15" t="n">
        <v>6</v>
      </c>
      <c r="J4" s="15" t="n">
        <v>7</v>
      </c>
      <c r="K4" s="15" t="n">
        <v>8</v>
      </c>
      <c r="L4" s="15" t="n">
        <v>9</v>
      </c>
      <c r="M4" s="15" t="n">
        <v>10</v>
      </c>
      <c r="N4" s="15" t="n">
        <v>11</v>
      </c>
      <c r="O4" s="15" t="n">
        <v>12</v>
      </c>
      <c r="P4" s="15" t="n">
        <v>13</v>
      </c>
      <c r="Q4" s="15" t="n">
        <v>14</v>
      </c>
      <c r="R4" s="15" t="n">
        <v>15</v>
      </c>
      <c r="S4" s="15" t="n">
        <v>16</v>
      </c>
      <c r="T4" s="15" t="n">
        <v>17</v>
      </c>
      <c r="U4" s="15" t="n">
        <v>18</v>
      </c>
    </row>
    <row r="5" customFormat="false" ht="15" hidden="false" customHeight="false" outlineLevel="0" collapsed="false">
      <c r="A5" s="2" t="s">
        <v>221</v>
      </c>
      <c r="B5" s="2" t="s">
        <v>222</v>
      </c>
      <c r="D5" s="15" t="n">
        <f aca="false">MOD(Assumptions!$D$30-1+D4-1,12)+1</f>
        <v>7</v>
      </c>
      <c r="E5" s="15" t="n">
        <f aca="false">MOD(Assumptions!$D$30-1+E4-1,12)+1</f>
        <v>8</v>
      </c>
      <c r="F5" s="15" t="n">
        <f aca="false">MOD(Assumptions!$D$30-1+F4-1,12)+1</f>
        <v>9</v>
      </c>
      <c r="G5" s="15" t="n">
        <f aca="false">MOD(Assumptions!$D$30-1+G4-1,12)+1</f>
        <v>10</v>
      </c>
      <c r="H5" s="15" t="n">
        <f aca="false">MOD(Assumptions!$D$30-1+H4-1,12)+1</f>
        <v>11</v>
      </c>
      <c r="I5" s="15" t="n">
        <f aca="false">MOD(Assumptions!$D$30-1+I4-1,12)+1</f>
        <v>12</v>
      </c>
      <c r="J5" s="15" t="n">
        <f aca="false">MOD(Assumptions!$D$30-1+J4-1,12)+1</f>
        <v>1</v>
      </c>
      <c r="K5" s="15" t="n">
        <f aca="false">MOD(Assumptions!$D$30-1+K4-1,12)+1</f>
        <v>2</v>
      </c>
      <c r="L5" s="15" t="n">
        <f aca="false">MOD(Assumptions!$D$30-1+L4-1,12)+1</f>
        <v>3</v>
      </c>
      <c r="M5" s="15" t="n">
        <f aca="false">MOD(Assumptions!$D$30-1+M4-1,12)+1</f>
        <v>4</v>
      </c>
      <c r="N5" s="15" t="n">
        <f aca="false">MOD(Assumptions!$D$30-1+N4-1,12)+1</f>
        <v>5</v>
      </c>
      <c r="O5" s="15" t="n">
        <f aca="false">MOD(Assumptions!$D$30-1+O4-1,12)+1</f>
        <v>6</v>
      </c>
      <c r="P5" s="15" t="n">
        <f aca="false">MOD(Assumptions!$D$30-1+P4-1,12)+1</f>
        <v>7</v>
      </c>
      <c r="Q5" s="15" t="n">
        <f aca="false">MOD(Assumptions!$D$30-1+Q4-1,12)+1</f>
        <v>8</v>
      </c>
      <c r="R5" s="15" t="n">
        <f aca="false">MOD(Assumptions!$D$30-1+R4-1,12)+1</f>
        <v>9</v>
      </c>
      <c r="S5" s="15" t="n">
        <f aca="false">MOD(Assumptions!$D$30-1+S4-1,12)+1</f>
        <v>10</v>
      </c>
      <c r="T5" s="15" t="n">
        <f aca="false">MOD(Assumptions!$D$30-1+T4-1,12)+1</f>
        <v>11</v>
      </c>
      <c r="U5" s="15" t="n">
        <f aca="false">MOD(Assumptions!$D$30-1+U4-1,12)+1</f>
        <v>12</v>
      </c>
    </row>
    <row r="6" customFormat="false" ht="15" hidden="false" customHeight="false" outlineLevel="0" collapsed="false">
      <c r="A6" s="2" t="s">
        <v>223</v>
      </c>
      <c r="B6" s="2" t="s">
        <v>71</v>
      </c>
      <c r="D6" s="26" t="n">
        <f aca="false">INDEX(Assumptions!$C$57:$N$57,D5)</f>
        <v>1</v>
      </c>
      <c r="E6" s="26" t="n">
        <f aca="false">INDEX(Assumptions!$C$57:$N$57,E5)</f>
        <v>1</v>
      </c>
      <c r="F6" s="26" t="n">
        <f aca="false">INDEX(Assumptions!$C$57:$N$57,F5)</f>
        <v>1</v>
      </c>
      <c r="G6" s="26" t="n">
        <f aca="false">INDEX(Assumptions!$C$57:$N$57,G5)</f>
        <v>1</v>
      </c>
      <c r="H6" s="26" t="n">
        <f aca="false">INDEX(Assumptions!$C$57:$N$57,H5)</f>
        <v>1</v>
      </c>
      <c r="I6" s="26" t="n">
        <f aca="false">INDEX(Assumptions!$C$57:$N$57,I5)</f>
        <v>1.3</v>
      </c>
      <c r="J6" s="26" t="n">
        <f aca="false">INDEX(Assumptions!$C$57:$N$57,J5)</f>
        <v>1.4</v>
      </c>
      <c r="K6" s="26" t="n">
        <f aca="false">INDEX(Assumptions!$C$57:$N$57,K5)</f>
        <v>1.2</v>
      </c>
      <c r="L6" s="26" t="n">
        <f aca="false">INDEX(Assumptions!$C$57:$N$57,L5)</f>
        <v>1</v>
      </c>
      <c r="M6" s="26" t="n">
        <f aca="false">INDEX(Assumptions!$C$57:$N$57,M5)</f>
        <v>1</v>
      </c>
      <c r="N6" s="26" t="n">
        <f aca="false">INDEX(Assumptions!$C$57:$N$57,N5)</f>
        <v>1</v>
      </c>
      <c r="O6" s="26" t="n">
        <f aca="false">INDEX(Assumptions!$C$57:$N$57,O5)</f>
        <v>1</v>
      </c>
      <c r="P6" s="26" t="n">
        <f aca="false">INDEX(Assumptions!$C$57:$N$57,P5)</f>
        <v>1</v>
      </c>
      <c r="Q6" s="26" t="n">
        <f aca="false">INDEX(Assumptions!$C$57:$N$57,Q5)</f>
        <v>1</v>
      </c>
      <c r="R6" s="26" t="n">
        <f aca="false">INDEX(Assumptions!$C$57:$N$57,R5)</f>
        <v>1</v>
      </c>
      <c r="S6" s="26" t="n">
        <f aca="false">INDEX(Assumptions!$C$57:$N$57,S5)</f>
        <v>1</v>
      </c>
      <c r="T6" s="26" t="n">
        <f aca="false">INDEX(Assumptions!$C$57:$N$57,T5)</f>
        <v>1</v>
      </c>
      <c r="U6" s="26" t="n">
        <f aca="false">INDEX(Assumptions!$C$57:$N$57,U5)</f>
        <v>1.3</v>
      </c>
    </row>
    <row r="7" customFormat="false" ht="15" hidden="false" customHeight="false" outlineLevel="0" collapsed="false">
      <c r="A7" s="2" t="s">
        <v>224</v>
      </c>
      <c r="B7" s="2" t="s">
        <v>34</v>
      </c>
      <c r="D7" s="18" t="n">
        <f aca="false">INDEX(Assumptions!$C$61:$T$61,D4)/SUM(Assumptions!$C$61:$T$61)</f>
        <v>0.0208333333333333</v>
      </c>
      <c r="E7" s="18" t="n">
        <f aca="false">INDEX(Assumptions!$C$61:$T$61,E4)/SUM(Assumptions!$C$61:$T$61)</f>
        <v>0.03125</v>
      </c>
      <c r="F7" s="18" t="n">
        <f aca="false">INDEX(Assumptions!$C$61:$T$61,F4)/SUM(Assumptions!$C$61:$T$61)</f>
        <v>0.0416666666666667</v>
      </c>
      <c r="G7" s="18" t="n">
        <f aca="false">INDEX(Assumptions!$C$61:$T$61,G4)/SUM(Assumptions!$C$61:$T$61)</f>
        <v>0.0520833333333333</v>
      </c>
      <c r="H7" s="18" t="n">
        <f aca="false">INDEX(Assumptions!$C$61:$T$61,H4)/SUM(Assumptions!$C$61:$T$61)</f>
        <v>0.0625</v>
      </c>
      <c r="I7" s="18" t="n">
        <f aca="false">INDEX(Assumptions!$C$61:$T$61,I4)/SUM(Assumptions!$C$61:$T$61)</f>
        <v>0.0729166666666667</v>
      </c>
      <c r="J7" s="18" t="n">
        <f aca="false">INDEX(Assumptions!$C$61:$T$61,J4)/SUM(Assumptions!$C$61:$T$61)</f>
        <v>0.0729166666666667</v>
      </c>
      <c r="K7" s="18" t="n">
        <f aca="false">INDEX(Assumptions!$C$61:$T$61,K4)/SUM(Assumptions!$C$61:$T$61)</f>
        <v>0.0729166666666667</v>
      </c>
      <c r="L7" s="18" t="n">
        <f aca="false">INDEX(Assumptions!$C$61:$T$61,L4)/SUM(Assumptions!$C$61:$T$61)</f>
        <v>0.0729166666666667</v>
      </c>
      <c r="M7" s="18" t="n">
        <f aca="false">INDEX(Assumptions!$C$61:$T$61,M4)/SUM(Assumptions!$C$61:$T$61)</f>
        <v>0.0729166666666667</v>
      </c>
      <c r="N7" s="18" t="n">
        <f aca="false">INDEX(Assumptions!$C$61:$T$61,N4)/SUM(Assumptions!$C$61:$T$61)</f>
        <v>0.0625</v>
      </c>
      <c r="O7" s="18" t="n">
        <f aca="false">INDEX(Assumptions!$C$61:$T$61,O4)/SUM(Assumptions!$C$61:$T$61)</f>
        <v>0.0625</v>
      </c>
      <c r="P7" s="18" t="n">
        <f aca="false">INDEX(Assumptions!$C$61:$T$61,P4)/SUM(Assumptions!$C$61:$T$61)</f>
        <v>0.0625</v>
      </c>
      <c r="Q7" s="18" t="n">
        <f aca="false">INDEX(Assumptions!$C$61:$T$61,Q4)/SUM(Assumptions!$C$61:$T$61)</f>
        <v>0.0520833333333333</v>
      </c>
      <c r="R7" s="18" t="n">
        <f aca="false">INDEX(Assumptions!$C$61:$T$61,R4)/SUM(Assumptions!$C$61:$T$61)</f>
        <v>0.0520833333333333</v>
      </c>
      <c r="S7" s="18" t="n">
        <f aca="false">INDEX(Assumptions!$C$61:$T$61,S4)/SUM(Assumptions!$C$61:$T$61)</f>
        <v>0.0520833333333333</v>
      </c>
      <c r="T7" s="18" t="n">
        <f aca="false">INDEX(Assumptions!$C$61:$T$61,T4)/SUM(Assumptions!$C$61:$T$61)</f>
        <v>0.0416666666666667</v>
      </c>
      <c r="U7" s="18" t="n">
        <f aca="false">INDEX(Assumptions!$C$61:$T$61,U4)/SUM(Assumptions!$C$61:$T$61)</f>
        <v>0.0416666666666667</v>
      </c>
    </row>
    <row r="8" customFormat="false" ht="15" hidden="false" customHeight="false" outlineLevel="0" collapsed="false">
      <c r="A8" s="6" t="s">
        <v>225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customFormat="false" ht="15" hidden="false" customHeight="false" outlineLevel="0" collapsed="false">
      <c r="A9" s="2" t="s">
        <v>226</v>
      </c>
      <c r="B9" s="2" t="s">
        <v>22</v>
      </c>
      <c r="C9" s="12" t="n">
        <f aca="false">SUM(D9:U9)</f>
        <v>300000</v>
      </c>
      <c r="D9" s="27" t="n">
        <f aca="false">Assumptions!$D$14*Assumptions!$D$12*D7</f>
        <v>6250</v>
      </c>
      <c r="E9" s="27" t="n">
        <f aca="false">Assumptions!$D$14*Assumptions!$D$12*E7</f>
        <v>9375</v>
      </c>
      <c r="F9" s="27" t="n">
        <f aca="false">Assumptions!$D$14*Assumptions!$D$12*F7</f>
        <v>12500</v>
      </c>
      <c r="G9" s="27" t="n">
        <f aca="false">Assumptions!$D$14*Assumptions!$D$12*G7</f>
        <v>15625</v>
      </c>
      <c r="H9" s="27" t="n">
        <f aca="false">Assumptions!$D$14*Assumptions!$D$12*H7</f>
        <v>18750</v>
      </c>
      <c r="I9" s="27" t="n">
        <f aca="false">Assumptions!$D$14*Assumptions!$D$12*I7</f>
        <v>21875</v>
      </c>
      <c r="J9" s="27" t="n">
        <f aca="false">Assumptions!$D$14*Assumptions!$D$12*J7</f>
        <v>21875</v>
      </c>
      <c r="K9" s="27" t="n">
        <f aca="false">Assumptions!$D$14*Assumptions!$D$12*K7</f>
        <v>21875</v>
      </c>
      <c r="L9" s="27" t="n">
        <f aca="false">Assumptions!$D$14*Assumptions!$D$12*L7</f>
        <v>21875</v>
      </c>
      <c r="M9" s="27" t="n">
        <f aca="false">Assumptions!$D$14*Assumptions!$D$12*M7</f>
        <v>21875</v>
      </c>
      <c r="N9" s="27" t="n">
        <f aca="false">Assumptions!$D$14*Assumptions!$D$12*N7</f>
        <v>18750</v>
      </c>
      <c r="O9" s="27" t="n">
        <f aca="false">Assumptions!$D$14*Assumptions!$D$12*O7</f>
        <v>18750</v>
      </c>
      <c r="P9" s="27" t="n">
        <f aca="false">Assumptions!$D$14*Assumptions!$D$12*P7</f>
        <v>18750</v>
      </c>
      <c r="Q9" s="27" t="n">
        <f aca="false">Assumptions!$D$14*Assumptions!$D$12*Q7</f>
        <v>15625</v>
      </c>
      <c r="R9" s="27" t="n">
        <f aca="false">Assumptions!$D$14*Assumptions!$D$12*R7</f>
        <v>15625</v>
      </c>
      <c r="S9" s="27" t="n">
        <f aca="false">Assumptions!$D$14*Assumptions!$D$12*S7</f>
        <v>15625</v>
      </c>
      <c r="T9" s="27" t="n">
        <f aca="false">Assumptions!$D$14*Assumptions!$D$12*T7</f>
        <v>12500</v>
      </c>
      <c r="U9" s="27" t="n">
        <f aca="false">Assumptions!$D$14*Assumptions!$D$12*U7</f>
        <v>12500</v>
      </c>
    </row>
    <row r="10" customFormat="false" ht="15" hidden="false" customHeight="false" outlineLevel="0" collapsed="false">
      <c r="A10" s="2" t="s">
        <v>227</v>
      </c>
      <c r="B10" s="2" t="s">
        <v>22</v>
      </c>
      <c r="C10" s="12" t="n">
        <f aca="false">SUM(D10:U10)</f>
        <v>180000</v>
      </c>
      <c r="D10" s="27" t="n">
        <f aca="false">D9*Assumptions!$D$15</f>
        <v>3750</v>
      </c>
      <c r="E10" s="27" t="n">
        <f aca="false">E9*Assumptions!$D$15</f>
        <v>5625</v>
      </c>
      <c r="F10" s="27" t="n">
        <f aca="false">F9*Assumptions!$D$15</f>
        <v>7500</v>
      </c>
      <c r="G10" s="27" t="n">
        <f aca="false">G9*Assumptions!$D$15</f>
        <v>9375</v>
      </c>
      <c r="H10" s="27" t="n">
        <f aca="false">H9*Assumptions!$D$15</f>
        <v>11250</v>
      </c>
      <c r="I10" s="27" t="n">
        <f aca="false">I9*Assumptions!$D$15</f>
        <v>13125</v>
      </c>
      <c r="J10" s="27" t="n">
        <f aca="false">J9*Assumptions!$D$15</f>
        <v>13125</v>
      </c>
      <c r="K10" s="27" t="n">
        <f aca="false">K9*Assumptions!$D$15</f>
        <v>13125</v>
      </c>
      <c r="L10" s="27" t="n">
        <f aca="false">L9*Assumptions!$D$15</f>
        <v>13125</v>
      </c>
      <c r="M10" s="27" t="n">
        <f aca="false">M9*Assumptions!$D$15</f>
        <v>13125</v>
      </c>
      <c r="N10" s="27" t="n">
        <f aca="false">N9*Assumptions!$D$15</f>
        <v>11250</v>
      </c>
      <c r="O10" s="27" t="n">
        <f aca="false">O9*Assumptions!$D$15</f>
        <v>11250</v>
      </c>
      <c r="P10" s="27" t="n">
        <f aca="false">P9*Assumptions!$D$15</f>
        <v>11250</v>
      </c>
      <c r="Q10" s="27" t="n">
        <f aca="false">Q9*Assumptions!$D$15</f>
        <v>9375</v>
      </c>
      <c r="R10" s="27" t="n">
        <f aca="false">R9*Assumptions!$D$15</f>
        <v>9375</v>
      </c>
      <c r="S10" s="27" t="n">
        <f aca="false">S9*Assumptions!$D$15</f>
        <v>9375</v>
      </c>
      <c r="T10" s="27" t="n">
        <f aca="false">T9*Assumptions!$D$15</f>
        <v>7500</v>
      </c>
      <c r="U10" s="27" t="n">
        <f aca="false">U9*Assumptions!$D$15</f>
        <v>7500</v>
      </c>
    </row>
    <row r="11" customFormat="false" ht="15" hidden="false" customHeight="false" outlineLevel="0" collapsed="false">
      <c r="A11" s="2" t="s">
        <v>228</v>
      </c>
      <c r="B11" s="2" t="s">
        <v>22</v>
      </c>
      <c r="D11" s="27" t="n">
        <f aca="false">SUM(D49:D66)</f>
        <v>3750</v>
      </c>
      <c r="E11" s="27" t="n">
        <f aca="false">SUM(E49:E66)</f>
        <v>9075</v>
      </c>
      <c r="F11" s="27" t="n">
        <f aca="false">SUM(F49:F66)</f>
        <v>15849</v>
      </c>
      <c r="G11" s="27" t="n">
        <f aca="false">SUM(G49:G66)</f>
        <v>23956.08</v>
      </c>
      <c r="H11" s="27" t="n">
        <f aca="false">SUM(H49:H66)</f>
        <v>33289.5936</v>
      </c>
      <c r="I11" s="27" t="n">
        <f aca="false">SUM(I49:I66)</f>
        <v>43751.426112</v>
      </c>
      <c r="J11" s="27" t="n">
        <f aca="false">SUM(J49:J66)</f>
        <v>53376.31202304</v>
      </c>
      <c r="K11" s="27" t="n">
        <f aca="false">SUM(K49:K66)</f>
        <v>62231.2070611968</v>
      </c>
      <c r="L11" s="27" t="n">
        <f aca="false">SUM(L49:L66)</f>
        <v>70377.7104963011</v>
      </c>
      <c r="M11" s="27" t="n">
        <f aca="false">SUM(M49:M66)</f>
        <v>77872.493656597</v>
      </c>
      <c r="N11" s="27" t="n">
        <f aca="false">SUM(N49:N66)</f>
        <v>82892.6941640692</v>
      </c>
      <c r="O11" s="27" t="n">
        <f aca="false">SUM(O49:O66)</f>
        <v>87511.2786309437</v>
      </c>
      <c r="P11" s="27" t="n">
        <f aca="false">SUM(P49:P66)</f>
        <v>91760.3763404682</v>
      </c>
      <c r="Q11" s="27" t="n">
        <f aca="false">SUM(Q49:Q66)</f>
        <v>93794.5462332308</v>
      </c>
      <c r="R11" s="27" t="n">
        <f aca="false">SUM(R49:R66)</f>
        <v>95665.9825345723</v>
      </c>
      <c r="S11" s="27" t="n">
        <f aca="false">SUM(S49:S66)</f>
        <v>97387.7039318065</v>
      </c>
      <c r="T11" s="27" t="n">
        <f aca="false">SUM(T49:T66)</f>
        <v>97096.687617262</v>
      </c>
      <c r="U11" s="27" t="n">
        <f aca="false">SUM(U49:U66)</f>
        <v>96828.952607881</v>
      </c>
    </row>
    <row r="12" customFormat="false" ht="15" hidden="false" customHeight="false" outlineLevel="0" collapsed="false">
      <c r="A12" s="2" t="s">
        <v>229</v>
      </c>
      <c r="B12" s="2" t="s">
        <v>22</v>
      </c>
      <c r="C12" s="12" t="n">
        <f aca="false">SUM(D12:U12)</f>
        <v>83171.047392119</v>
      </c>
      <c r="D12" s="27" t="n">
        <f aca="false">0</f>
        <v>0</v>
      </c>
      <c r="E12" s="27" t="n">
        <f aca="false">D11*Assumptions!$D$18</f>
        <v>300</v>
      </c>
      <c r="F12" s="27" t="n">
        <f aca="false">E11*Assumptions!$D$18</f>
        <v>726</v>
      </c>
      <c r="G12" s="27" t="n">
        <f aca="false">F11*Assumptions!$D$18</f>
        <v>1267.92</v>
      </c>
      <c r="H12" s="27" t="n">
        <f aca="false">G11*Assumptions!$D$18</f>
        <v>1916.4864</v>
      </c>
      <c r="I12" s="27" t="n">
        <f aca="false">H11*Assumptions!$D$18</f>
        <v>2663.167488</v>
      </c>
      <c r="J12" s="27" t="n">
        <f aca="false">I11*Assumptions!$D$18</f>
        <v>3500.11408896</v>
      </c>
      <c r="K12" s="27" t="n">
        <f aca="false">J11*Assumptions!$D$18</f>
        <v>4270.1049618432</v>
      </c>
      <c r="L12" s="27" t="n">
        <f aca="false">K11*Assumptions!$D$18</f>
        <v>4978.49656489574</v>
      </c>
      <c r="M12" s="27" t="n">
        <f aca="false">L11*Assumptions!$D$18</f>
        <v>5630.21683970409</v>
      </c>
      <c r="N12" s="27" t="n">
        <f aca="false">M11*Assumptions!$D$18</f>
        <v>6229.79949252776</v>
      </c>
      <c r="O12" s="27" t="n">
        <f aca="false">N11*Assumptions!$D$18</f>
        <v>6631.41553312554</v>
      </c>
      <c r="P12" s="27" t="n">
        <f aca="false">O11*Assumptions!$D$18</f>
        <v>7000.9022904755</v>
      </c>
      <c r="Q12" s="27" t="n">
        <f aca="false">P11*Assumptions!$D$18</f>
        <v>7340.83010723746</v>
      </c>
      <c r="R12" s="27" t="n">
        <f aca="false">Q11*Assumptions!$D$18</f>
        <v>7503.56369865846</v>
      </c>
      <c r="S12" s="27" t="n">
        <f aca="false">R11*Assumptions!$D$18</f>
        <v>7653.27860276578</v>
      </c>
      <c r="T12" s="27" t="n">
        <f aca="false">S11*Assumptions!$D$18</f>
        <v>7791.01631454452</v>
      </c>
      <c r="U12" s="27" t="n">
        <f aca="false">T11*Assumptions!$D$18</f>
        <v>7767.73500938096</v>
      </c>
    </row>
    <row r="13" customFormat="false" ht="15" hidden="false" customHeight="false" outlineLevel="0" collapsed="false">
      <c r="A13" s="2" t="s">
        <v>230</v>
      </c>
      <c r="B13" s="2" t="s">
        <v>22</v>
      </c>
      <c r="D13" s="27" t="n">
        <f aca="false">D9</f>
        <v>6250</v>
      </c>
      <c r="E13" s="27" t="n">
        <f aca="false">D13+E9</f>
        <v>15625</v>
      </c>
      <c r="F13" s="27" t="n">
        <f aca="false">E13+F9</f>
        <v>28125</v>
      </c>
      <c r="G13" s="27" t="n">
        <f aca="false">F13+G9</f>
        <v>43750</v>
      </c>
      <c r="H13" s="27" t="n">
        <f aca="false">G13+H9</f>
        <v>62500</v>
      </c>
      <c r="I13" s="27" t="n">
        <f aca="false">H13+I9</f>
        <v>84375</v>
      </c>
      <c r="J13" s="27" t="n">
        <f aca="false">I13+J9</f>
        <v>106250</v>
      </c>
      <c r="K13" s="27" t="n">
        <f aca="false">J13+K9</f>
        <v>128125</v>
      </c>
      <c r="L13" s="27" t="n">
        <f aca="false">K13+L9</f>
        <v>150000</v>
      </c>
      <c r="M13" s="27" t="n">
        <f aca="false">L13+M9</f>
        <v>171875</v>
      </c>
      <c r="N13" s="27" t="n">
        <f aca="false">M13+N9</f>
        <v>190625</v>
      </c>
      <c r="O13" s="27" t="n">
        <f aca="false">N13+O9</f>
        <v>209375</v>
      </c>
      <c r="P13" s="27" t="n">
        <f aca="false">O13+P9</f>
        <v>228125</v>
      </c>
      <c r="Q13" s="27" t="n">
        <f aca="false">P13+Q9</f>
        <v>243750</v>
      </c>
      <c r="R13" s="27" t="n">
        <f aca="false">Q13+R9</f>
        <v>259375</v>
      </c>
      <c r="S13" s="27" t="n">
        <f aca="false">R13+S9</f>
        <v>275000</v>
      </c>
      <c r="T13" s="27" t="n">
        <f aca="false">S13+T9</f>
        <v>287500</v>
      </c>
      <c r="U13" s="27" t="n">
        <f aca="false">T13+U9</f>
        <v>300000</v>
      </c>
    </row>
    <row r="14" customFormat="false" ht="15" hidden="false" customHeight="false" outlineLevel="0" collapsed="false">
      <c r="A14" s="6" t="s">
        <v>231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customFormat="false" ht="15" hidden="false" customHeight="false" outlineLevel="0" collapsed="false">
      <c r="A15" s="2" t="s">
        <v>232</v>
      </c>
      <c r="B15" s="2" t="s">
        <v>233</v>
      </c>
      <c r="D15" s="11" t="n">
        <f aca="false">IF(0&gt;0,0/0,0)</f>
        <v>0</v>
      </c>
      <c r="E15" s="11" t="n">
        <f aca="false">IF(D11&gt;0,D21/D11,0)</f>
        <v>0.5</v>
      </c>
      <c r="F15" s="11" t="n">
        <f aca="false">IF(E11&gt;0,E21/E11,0)</f>
        <v>0.680578512396694</v>
      </c>
      <c r="G15" s="11" t="n">
        <f aca="false">IF(F11&gt;0,F21/F11,0)</f>
        <v>0.842743100511073</v>
      </c>
      <c r="H15" s="11" t="n">
        <f aca="false">IF(G11&gt;0,G21/G11,0)</f>
        <v>0.990373548886462</v>
      </c>
      <c r="I15" s="11" t="n">
        <f aca="false">IF(H11&gt;0,H21/H11,0)</f>
        <v>1.12683323314415</v>
      </c>
      <c r="J15" s="11" t="n">
        <f aca="false">IF(I11&gt;0,I21/I11,0)</f>
        <v>1.24367524926234</v>
      </c>
      <c r="K15" s="11" t="n">
        <f aca="false">IF(J11&gt;0,J21/J11,0)</f>
        <v>1.38008874733587</v>
      </c>
      <c r="L15" s="11" t="n">
        <f aca="false">IF(K11&gt;0,K21/K11,0)</f>
        <v>1.53151814089499</v>
      </c>
      <c r="M15" s="11" t="n">
        <f aca="false">IF(L11&gt;0,L21/L11,0)</f>
        <v>1.69108006357095</v>
      </c>
      <c r="N15" s="11" t="n">
        <f aca="false">IF(M11&gt;0,M21/M11,0)</f>
        <v>1.84419087104296</v>
      </c>
      <c r="O15" s="11" t="n">
        <f aca="false">IF(N11&gt;0,N21/N11,0)</f>
        <v>2.02376998378055</v>
      </c>
      <c r="P15" s="11" t="n">
        <f aca="false">IF(O11&gt;0,O21/O11,0)</f>
        <v>2.18600592192312</v>
      </c>
      <c r="Q15" s="11" t="n">
        <f aca="false">IF(P11&gt;0,P21/P11,0)</f>
        <v>2.33360547493998</v>
      </c>
      <c r="R15" s="11" t="n">
        <f aca="false">IF(Q11&gt;0,Q21/Q11,0)</f>
        <v>2.50794010497266</v>
      </c>
      <c r="S15" s="11" t="n">
        <f aca="false">IF(R11&gt;0,R21/R11,0)</f>
        <v>2.66263352154629</v>
      </c>
      <c r="T15" s="11" t="n">
        <f aca="false">IF(S11&gt;0,S21/S11,0)</f>
        <v>2.80043795500054</v>
      </c>
      <c r="U15" s="11" t="n">
        <f aca="false">IF(T11&gt;0,T21/T11,0)</f>
        <v>2.97042336960887</v>
      </c>
    </row>
    <row r="16" customFormat="false" ht="15" hidden="false" customHeight="false" outlineLevel="0" collapsed="false">
      <c r="A16" s="2" t="s">
        <v>234</v>
      </c>
      <c r="B16" s="2" t="s">
        <v>28</v>
      </c>
      <c r="C16" s="12" t="n">
        <f aca="false">SUM(D16:U16)</f>
        <v>568233.522504684</v>
      </c>
      <c r="D16" s="12" t="n">
        <f aca="false">D11*Assumptions!$D$19/Assumptions!$D$7</f>
        <v>1875</v>
      </c>
      <c r="E16" s="12" t="n">
        <f aca="false">E11*Assumptions!$D$19/Assumptions!$D$7</f>
        <v>4537.5</v>
      </c>
      <c r="F16" s="12" t="n">
        <f aca="false">F11*Assumptions!$D$19/Assumptions!$D$7</f>
        <v>7924.5</v>
      </c>
      <c r="G16" s="12" t="n">
        <f aca="false">G11*Assumptions!$D$19/Assumptions!$D$7</f>
        <v>11978.04</v>
      </c>
      <c r="H16" s="12" t="n">
        <f aca="false">H11*Assumptions!$D$19/Assumptions!$D$7</f>
        <v>16644.7968</v>
      </c>
      <c r="I16" s="12" t="n">
        <f aca="false">I11*Assumptions!$D$19/Assumptions!$D$7</f>
        <v>21875.713056</v>
      </c>
      <c r="J16" s="12" t="n">
        <f aca="false">J11*Assumptions!$D$19/Assumptions!$D$7</f>
        <v>26688.15601152</v>
      </c>
      <c r="K16" s="12" t="n">
        <f aca="false">K11*Assumptions!$D$19/Assumptions!$D$7</f>
        <v>31115.6035305984</v>
      </c>
      <c r="L16" s="12" t="n">
        <f aca="false">L11*Assumptions!$D$19/Assumptions!$D$7</f>
        <v>35188.8552481505</v>
      </c>
      <c r="M16" s="12" t="n">
        <f aca="false">M11*Assumptions!$D$19/Assumptions!$D$7</f>
        <v>38936.2468282985</v>
      </c>
      <c r="N16" s="12" t="n">
        <f aca="false">N11*Assumptions!$D$19/Assumptions!$D$7</f>
        <v>41446.3470820346</v>
      </c>
      <c r="O16" s="12" t="n">
        <f aca="false">O11*Assumptions!$D$19/Assumptions!$D$7</f>
        <v>43755.6393154718</v>
      </c>
      <c r="P16" s="12" t="n">
        <f aca="false">P11*Assumptions!$D$19/Assumptions!$D$7</f>
        <v>45880.1881702341</v>
      </c>
      <c r="Q16" s="12" t="n">
        <f aca="false">Q11*Assumptions!$D$19/Assumptions!$D$7</f>
        <v>46897.2731166154</v>
      </c>
      <c r="R16" s="12" t="n">
        <f aca="false">R11*Assumptions!$D$19/Assumptions!$D$7</f>
        <v>47832.9912672862</v>
      </c>
      <c r="S16" s="12" t="n">
        <f aca="false">S11*Assumptions!$D$19/Assumptions!$D$7</f>
        <v>48693.8519659033</v>
      </c>
      <c r="T16" s="12" t="n">
        <f aca="false">T11*Assumptions!$D$19/Assumptions!$D$7</f>
        <v>48548.343808631</v>
      </c>
      <c r="U16" s="12" t="n">
        <f aca="false">U11*Assumptions!$D$19/Assumptions!$D$7</f>
        <v>48414.4763039405</v>
      </c>
    </row>
    <row r="17" customFormat="false" ht="15" hidden="false" customHeight="false" outlineLevel="0" collapsed="false">
      <c r="A17" s="2" t="s">
        <v>235</v>
      </c>
      <c r="B17" s="2" t="s">
        <v>28</v>
      </c>
      <c r="C17" s="12" t="n">
        <f aca="false">SUM(D17:U17)</f>
        <v>175435.646361525</v>
      </c>
      <c r="D17" s="12" t="n">
        <f aca="false">D12*D15</f>
        <v>0</v>
      </c>
      <c r="E17" s="12" t="n">
        <f aca="false">E12*E15</f>
        <v>150</v>
      </c>
      <c r="F17" s="12" t="n">
        <f aca="false">F12*F15</f>
        <v>494.1</v>
      </c>
      <c r="G17" s="12" t="n">
        <f aca="false">G12*G15</f>
        <v>1068.530832</v>
      </c>
      <c r="H17" s="12" t="n">
        <f aca="false">H12*H15</f>
        <v>1898.03743736064</v>
      </c>
      <c r="I17" s="12" t="n">
        <f aca="false">I12*I15</f>
        <v>3000.94563090743</v>
      </c>
      <c r="J17" s="12" t="n">
        <f aca="false">J12*J15</f>
        <v>4353.00526203396</v>
      </c>
      <c r="K17" s="12" t="n">
        <f aca="false">K12*K15</f>
        <v>5893.12380778286</v>
      </c>
      <c r="L17" s="12" t="n">
        <f aca="false">L12*L15</f>
        <v>7624.65780352124</v>
      </c>
      <c r="M17" s="12" t="n">
        <f aca="false">M12*M15</f>
        <v>9521.14745120504</v>
      </c>
      <c r="N17" s="12" t="n">
        <f aca="false">N12*N15</f>
        <v>11488.9393525477</v>
      </c>
      <c r="O17" s="12" t="n">
        <f aca="false">O12*O15</f>
        <v>13420.4597059156</v>
      </c>
      <c r="P17" s="12" t="n">
        <f aca="false">P12*P15</f>
        <v>15304.0138657846</v>
      </c>
      <c r="Q17" s="12" t="n">
        <f aca="false">Q12*Q15</f>
        <v>17130.6013288536</v>
      </c>
      <c r="R17" s="12" t="n">
        <f aca="false">R12*R15</f>
        <v>18818.4883300825</v>
      </c>
      <c r="S17" s="12" t="n">
        <f aca="false">S12*S15</f>
        <v>20377.8761574571</v>
      </c>
      <c r="T17" s="12" t="n">
        <f aca="false">T12*T15</f>
        <v>21818.2577952789</v>
      </c>
      <c r="U17" s="12" t="n">
        <f aca="false">U12*U15</f>
        <v>23073.4616007942</v>
      </c>
    </row>
    <row r="18" customFormat="false" ht="15" hidden="false" customHeight="false" outlineLevel="0" collapsed="false">
      <c r="A18" s="2" t="s">
        <v>236</v>
      </c>
      <c r="B18" s="2" t="s">
        <v>237</v>
      </c>
      <c r="D18" s="15" t="n">
        <f aca="false">IF(D4&gt;=Assumptions!$D$31,1,0)</f>
        <v>0</v>
      </c>
      <c r="E18" s="15" t="n">
        <f aca="false">IF(E4&gt;=Assumptions!$D$31,1,0)</f>
        <v>0</v>
      </c>
      <c r="F18" s="15" t="n">
        <f aca="false">IF(F4&gt;=Assumptions!$D$31,1,0)</f>
        <v>1</v>
      </c>
      <c r="G18" s="15" t="n">
        <f aca="false">IF(G4&gt;=Assumptions!$D$31,1,0)</f>
        <v>1</v>
      </c>
      <c r="H18" s="15" t="n">
        <f aca="false">IF(H4&gt;=Assumptions!$D$31,1,0)</f>
        <v>1</v>
      </c>
      <c r="I18" s="15" t="n">
        <f aca="false">IF(I4&gt;=Assumptions!$D$31,1,0)</f>
        <v>1</v>
      </c>
      <c r="J18" s="15" t="n">
        <f aca="false">IF(J4&gt;=Assumptions!$D$31,1,0)</f>
        <v>1</v>
      </c>
      <c r="K18" s="15" t="n">
        <f aca="false">IF(K4&gt;=Assumptions!$D$31,1,0)</f>
        <v>1</v>
      </c>
      <c r="L18" s="15" t="n">
        <f aca="false">IF(L4&gt;=Assumptions!$D$31,1,0)</f>
        <v>1</v>
      </c>
      <c r="M18" s="15" t="n">
        <f aca="false">IF(M4&gt;=Assumptions!$D$31,1,0)</f>
        <v>1</v>
      </c>
      <c r="N18" s="15" t="n">
        <f aca="false">IF(N4&gt;=Assumptions!$D$31,1,0)</f>
        <v>1</v>
      </c>
      <c r="O18" s="15" t="n">
        <f aca="false">IF(O4&gt;=Assumptions!$D$31,1,0)</f>
        <v>1</v>
      </c>
      <c r="P18" s="15" t="n">
        <f aca="false">IF(P4&gt;=Assumptions!$D$31,1,0)</f>
        <v>1</v>
      </c>
      <c r="Q18" s="15" t="n">
        <f aca="false">IF(Q4&gt;=Assumptions!$D$31,1,0)</f>
        <v>1</v>
      </c>
      <c r="R18" s="15" t="n">
        <f aca="false">IF(R4&gt;=Assumptions!$D$31,1,0)</f>
        <v>1</v>
      </c>
      <c r="S18" s="15" t="n">
        <f aca="false">IF(S4&gt;=Assumptions!$D$31,1,0)</f>
        <v>1</v>
      </c>
      <c r="T18" s="15" t="n">
        <f aca="false">IF(T4&gt;=Assumptions!$D$31,1,0)</f>
        <v>1</v>
      </c>
      <c r="U18" s="15" t="n">
        <f aca="false">IF(U4&gt;=Assumptions!$D$31,1,0)</f>
        <v>1</v>
      </c>
    </row>
    <row r="19" customFormat="false" ht="15" hidden="false" customHeight="false" outlineLevel="0" collapsed="false">
      <c r="A19" s="2" t="s">
        <v>238</v>
      </c>
      <c r="B19" s="2" t="s">
        <v>122</v>
      </c>
      <c r="D19" s="19" t="n">
        <f aca="false">Assumptions!$D$20*D6*(1-Assumptions!$D$21*Assumptions!$D$22*D18)</f>
        <v>0.05</v>
      </c>
      <c r="E19" s="19" t="n">
        <f aca="false">Assumptions!$D$20*E6*(1-Assumptions!$D$21*Assumptions!$D$22*E18)</f>
        <v>0.05</v>
      </c>
      <c r="F19" s="19" t="n">
        <f aca="false">Assumptions!$D$20*F6*(1-Assumptions!$D$21*Assumptions!$D$22*F18)</f>
        <v>0.044</v>
      </c>
      <c r="G19" s="19" t="n">
        <f aca="false">Assumptions!$D$20*G6*(1-Assumptions!$D$21*Assumptions!$D$22*G18)</f>
        <v>0.044</v>
      </c>
      <c r="H19" s="19" t="n">
        <f aca="false">Assumptions!$D$20*H6*(1-Assumptions!$D$21*Assumptions!$D$22*H18)</f>
        <v>0.044</v>
      </c>
      <c r="I19" s="19" t="n">
        <f aca="false">Assumptions!$D$20*I6*(1-Assumptions!$D$21*Assumptions!$D$22*I18)</f>
        <v>0.0572</v>
      </c>
      <c r="J19" s="19" t="n">
        <f aca="false">Assumptions!$D$20*J6*(1-Assumptions!$D$21*Assumptions!$D$22*J18)</f>
        <v>0.0616</v>
      </c>
      <c r="K19" s="19" t="n">
        <f aca="false">Assumptions!$D$20*K6*(1-Assumptions!$D$21*Assumptions!$D$22*K18)</f>
        <v>0.0528</v>
      </c>
      <c r="L19" s="19" t="n">
        <f aca="false">Assumptions!$D$20*L6*(1-Assumptions!$D$21*Assumptions!$D$22*L18)</f>
        <v>0.044</v>
      </c>
      <c r="M19" s="19" t="n">
        <f aca="false">Assumptions!$D$20*M6*(1-Assumptions!$D$21*Assumptions!$D$22*M18)</f>
        <v>0.044</v>
      </c>
      <c r="N19" s="19" t="n">
        <f aca="false">Assumptions!$D$20*N6*(1-Assumptions!$D$21*Assumptions!$D$22*N18)</f>
        <v>0.044</v>
      </c>
      <c r="O19" s="19" t="n">
        <f aca="false">Assumptions!$D$20*O6*(1-Assumptions!$D$21*Assumptions!$D$22*O18)</f>
        <v>0.044</v>
      </c>
      <c r="P19" s="19" t="n">
        <f aca="false">Assumptions!$D$20*P6*(1-Assumptions!$D$21*Assumptions!$D$22*P18)</f>
        <v>0.044</v>
      </c>
      <c r="Q19" s="19" t="n">
        <f aca="false">Assumptions!$D$20*Q6*(1-Assumptions!$D$21*Assumptions!$D$22*Q18)</f>
        <v>0.044</v>
      </c>
      <c r="R19" s="19" t="n">
        <f aca="false">Assumptions!$D$20*R6*(1-Assumptions!$D$21*Assumptions!$D$22*R18)</f>
        <v>0.044</v>
      </c>
      <c r="S19" s="19" t="n">
        <f aca="false">Assumptions!$D$20*S6*(1-Assumptions!$D$21*Assumptions!$D$22*S18)</f>
        <v>0.044</v>
      </c>
      <c r="T19" s="19" t="n">
        <f aca="false">Assumptions!$D$20*T6*(1-Assumptions!$D$21*Assumptions!$D$22*T18)</f>
        <v>0.044</v>
      </c>
      <c r="U19" s="19" t="n">
        <f aca="false">Assumptions!$D$20*U6*(1-Assumptions!$D$21*Assumptions!$D$22*U18)</f>
        <v>0.0572</v>
      </c>
    </row>
    <row r="20" customFormat="false" ht="15" hidden="false" customHeight="false" outlineLevel="0" collapsed="false">
      <c r="A20" s="2" t="s">
        <v>239</v>
      </c>
      <c r="B20" s="2" t="s">
        <v>28</v>
      </c>
      <c r="C20" s="12" t="n">
        <f aca="false">SUM(D20:U20)</f>
        <v>94216.3144710875</v>
      </c>
      <c r="D20" s="12" t="n">
        <f aca="false">(0-D17)*D19</f>
        <v>0</v>
      </c>
      <c r="E20" s="12" t="n">
        <f aca="false">(D21-E17)*E19</f>
        <v>86.25</v>
      </c>
      <c r="F20" s="12" t="n">
        <f aca="false">(E21-F17)*F19</f>
        <v>250.0146</v>
      </c>
      <c r="G20" s="12" t="n">
        <f aca="false">(F21-G17)*G19</f>
        <v>540.676600992</v>
      </c>
      <c r="H20" s="12" t="n">
        <f aca="false">(G21-H17)*H19</f>
        <v>960.406943304484</v>
      </c>
      <c r="I20" s="12" t="n">
        <f aca="false">(H21-I17)*I19</f>
        <v>1974.02203601091</v>
      </c>
      <c r="J20" s="12" t="n">
        <f aca="false">(I21-J17)*J19</f>
        <v>3083.66892762486</v>
      </c>
      <c r="K20" s="12" t="n">
        <f aca="false">(J21-K17)*K19</f>
        <v>3578.30477608575</v>
      </c>
      <c r="L20" s="12" t="n">
        <f aca="false">(K21-L17)*L19</f>
        <v>3858.07684858175</v>
      </c>
      <c r="M20" s="12" t="n">
        <f aca="false">(L21-M17)*M19</f>
        <v>4817.70061030975</v>
      </c>
      <c r="N20" s="12" t="n">
        <f aca="false">(M21-N17)*N19</f>
        <v>5813.40331238916</v>
      </c>
      <c r="O20" s="12" t="n">
        <f aca="false">(N21-O17)*O19</f>
        <v>6790.75261119327</v>
      </c>
      <c r="P20" s="12" t="n">
        <f aca="false">(O21-P17)*P19</f>
        <v>7743.83101608701</v>
      </c>
      <c r="Q20" s="12" t="n">
        <f aca="false">(P21-Q17)*Q19</f>
        <v>8668.08427239992</v>
      </c>
      <c r="R20" s="12" t="n">
        <f aca="false">(Q21-R17)*R19</f>
        <v>9522.15509502177</v>
      </c>
      <c r="S20" s="12" t="n">
        <f aca="false">(R21-S17)*S19</f>
        <v>10311.2053356733</v>
      </c>
      <c r="T20" s="12" t="n">
        <f aca="false">(S21-T17)*T19</f>
        <v>11040.0384444111</v>
      </c>
      <c r="U20" s="12" t="n">
        <f aca="false">(T21-U17)*U19</f>
        <v>15177.7230410024</v>
      </c>
    </row>
    <row r="21" customFormat="false" ht="15" hidden="false" customHeight="false" outlineLevel="0" collapsed="false">
      <c r="A21" s="9" t="s">
        <v>240</v>
      </c>
      <c r="B21" s="2" t="s">
        <v>28</v>
      </c>
      <c r="D21" s="10" t="n">
        <f aca="false">0+D16-D17-D20</f>
        <v>1875</v>
      </c>
      <c r="E21" s="10" t="n">
        <f aca="false">D21+E16-E17-E20</f>
        <v>6176.25</v>
      </c>
      <c r="F21" s="10" t="n">
        <f aca="false">E21+F16-F17-F20</f>
        <v>13356.6354</v>
      </c>
      <c r="G21" s="10" t="n">
        <f aca="false">F21+G16-G17-G20</f>
        <v>23725.467967008</v>
      </c>
      <c r="H21" s="10" t="n">
        <f aca="false">G21+H16-H17-H20</f>
        <v>37511.8203863429</v>
      </c>
      <c r="I21" s="10" t="n">
        <f aca="false">H21+I16-I17-I20</f>
        <v>54412.5657754245</v>
      </c>
      <c r="J21" s="10" t="n">
        <f aca="false">I21+J16-J17-J20</f>
        <v>73664.0475972857</v>
      </c>
      <c r="K21" s="10" t="n">
        <f aca="false">J21+K16-K17-K20</f>
        <v>95308.2225440155</v>
      </c>
      <c r="L21" s="10" t="n">
        <f aca="false">K21+L16-L17-L20</f>
        <v>119014.343140063</v>
      </c>
      <c r="M21" s="10" t="n">
        <f aca="false">L21+M16-M17-M20</f>
        <v>143611.741906847</v>
      </c>
      <c r="N21" s="10" t="n">
        <f aca="false">M21+N16-N17-N20</f>
        <v>167755.746323944</v>
      </c>
      <c r="O21" s="10" t="n">
        <f aca="false">N21+O16-O17-O20</f>
        <v>191300.173322307</v>
      </c>
      <c r="P21" s="10" t="n">
        <f aca="false">O21+P16-P17-P20</f>
        <v>214132.51661067</v>
      </c>
      <c r="Q21" s="10" t="n">
        <f aca="false">P21+Q16-Q17-Q20</f>
        <v>235231.104126032</v>
      </c>
      <c r="R21" s="10" t="n">
        <f aca="false">Q21+R16-R17-R20</f>
        <v>254723.451968214</v>
      </c>
      <c r="S21" s="10" t="n">
        <f aca="false">R21+S16-S17-S20</f>
        <v>272728.222440987</v>
      </c>
      <c r="T21" s="10" t="n">
        <f aca="false">S21+T16-T17-T20</f>
        <v>288418.270009927</v>
      </c>
      <c r="U21" s="10" t="n">
        <f aca="false">T21+U16-U17-U20</f>
        <v>298581.561672071</v>
      </c>
    </row>
    <row r="22" customFormat="false" ht="15" hidden="false" customHeight="false" outlineLevel="0" collapsed="false">
      <c r="A22" s="2" t="s">
        <v>56</v>
      </c>
      <c r="B22" s="2" t="s">
        <v>34</v>
      </c>
      <c r="D22" s="18" t="n">
        <f aca="false">IF(D4&lt;Assumptions!$D$33,0,MIN(1,(D4-Assumptions!$D$33+1)/Assumptions!$D$28))*Assumptions!$D$27</f>
        <v>0</v>
      </c>
      <c r="E22" s="18" t="n">
        <f aca="false">IF(E4&lt;Assumptions!$D$33,0,MIN(1,(E4-Assumptions!$D$33+1)/Assumptions!$D$28))*Assumptions!$D$27</f>
        <v>0</v>
      </c>
      <c r="F22" s="18" t="n">
        <f aca="false">IF(F4&lt;Assumptions!$D$33,0,MIN(1,(F4-Assumptions!$D$33+1)/Assumptions!$D$28))*Assumptions!$D$27</f>
        <v>0</v>
      </c>
      <c r="G22" s="18" t="n">
        <f aca="false">IF(G4&lt;Assumptions!$D$33,0,MIN(1,(G4-Assumptions!$D$33+1)/Assumptions!$D$28))*Assumptions!$D$27</f>
        <v>0</v>
      </c>
      <c r="H22" s="18" t="n">
        <f aca="false">IF(H4&lt;Assumptions!$D$33,0,MIN(1,(H4-Assumptions!$D$33+1)/Assumptions!$D$28))*Assumptions!$D$27</f>
        <v>0.0166666666666667</v>
      </c>
      <c r="I22" s="18" t="n">
        <f aca="false">IF(I4&lt;Assumptions!$D$33,0,MIN(1,(I4-Assumptions!$D$33+1)/Assumptions!$D$28))*Assumptions!$D$27</f>
        <v>0.0333333333333333</v>
      </c>
      <c r="J22" s="18" t="n">
        <f aca="false">IF(J4&lt;Assumptions!$D$33,0,MIN(1,(J4-Assumptions!$D$33+1)/Assumptions!$D$28))*Assumptions!$D$27</f>
        <v>0.05</v>
      </c>
      <c r="K22" s="18" t="n">
        <f aca="false">IF(K4&lt;Assumptions!$D$33,0,MIN(1,(K4-Assumptions!$D$33+1)/Assumptions!$D$28))*Assumptions!$D$27</f>
        <v>0.0666666666666667</v>
      </c>
      <c r="L22" s="18" t="n">
        <f aca="false">IF(L4&lt;Assumptions!$D$33,0,MIN(1,(L4-Assumptions!$D$33+1)/Assumptions!$D$28))*Assumptions!$D$27</f>
        <v>0.0833333333333333</v>
      </c>
      <c r="M22" s="18" t="n">
        <f aca="false">IF(M4&lt;Assumptions!$D$33,0,MIN(1,(M4-Assumptions!$D$33+1)/Assumptions!$D$28))*Assumptions!$D$27</f>
        <v>0.1</v>
      </c>
      <c r="N22" s="18" t="n">
        <f aca="false">IF(N4&lt;Assumptions!$D$33,0,MIN(1,(N4-Assumptions!$D$33+1)/Assumptions!$D$28))*Assumptions!$D$27</f>
        <v>0.1</v>
      </c>
      <c r="O22" s="18" t="n">
        <f aca="false">IF(O4&lt;Assumptions!$D$33,0,MIN(1,(O4-Assumptions!$D$33+1)/Assumptions!$D$28))*Assumptions!$D$27</f>
        <v>0.1</v>
      </c>
      <c r="P22" s="18" t="n">
        <f aca="false">IF(P4&lt;Assumptions!$D$33,0,MIN(1,(P4-Assumptions!$D$33+1)/Assumptions!$D$28))*Assumptions!$D$27</f>
        <v>0.1</v>
      </c>
      <c r="Q22" s="18" t="n">
        <f aca="false">IF(Q4&lt;Assumptions!$D$33,0,MIN(1,(Q4-Assumptions!$D$33+1)/Assumptions!$D$28))*Assumptions!$D$27</f>
        <v>0.1</v>
      </c>
      <c r="R22" s="18" t="n">
        <f aca="false">IF(R4&lt;Assumptions!$D$33,0,MIN(1,(R4-Assumptions!$D$33+1)/Assumptions!$D$28))*Assumptions!$D$27</f>
        <v>0.1</v>
      </c>
      <c r="S22" s="18" t="n">
        <f aca="false">IF(S4&lt;Assumptions!$D$33,0,MIN(1,(S4-Assumptions!$D$33+1)/Assumptions!$D$28))*Assumptions!$D$27</f>
        <v>0.1</v>
      </c>
      <c r="T22" s="18" t="n">
        <f aca="false">IF(T4&lt;Assumptions!$D$33,0,MIN(1,(T4-Assumptions!$D$33+1)/Assumptions!$D$28))*Assumptions!$D$27</f>
        <v>0.1</v>
      </c>
      <c r="U22" s="18" t="n">
        <f aca="false">IF(U4&lt;Assumptions!$D$33,0,MIN(1,(U4-Assumptions!$D$33+1)/Assumptions!$D$28))*Assumptions!$D$27</f>
        <v>0.1</v>
      </c>
    </row>
    <row r="23" customFormat="false" ht="15" hidden="false" customHeight="false" outlineLevel="0" collapsed="false">
      <c r="A23" s="2" t="s">
        <v>241</v>
      </c>
      <c r="B23" s="2" t="s">
        <v>28</v>
      </c>
      <c r="D23" s="12" t="n">
        <f aca="false">D21*D22</f>
        <v>0</v>
      </c>
      <c r="E23" s="12" t="n">
        <f aca="false">E21*E22</f>
        <v>0</v>
      </c>
      <c r="F23" s="12" t="n">
        <f aca="false">F21*F22</f>
        <v>0</v>
      </c>
      <c r="G23" s="12" t="n">
        <f aca="false">G21*G22</f>
        <v>0</v>
      </c>
      <c r="H23" s="12" t="n">
        <f aca="false">H21*H22</f>
        <v>625.197006439048</v>
      </c>
      <c r="I23" s="12" t="n">
        <f aca="false">I21*I22</f>
        <v>1813.75219251415</v>
      </c>
      <c r="J23" s="12" t="n">
        <f aca="false">J21*J22</f>
        <v>3683.20237986429</v>
      </c>
      <c r="K23" s="12" t="n">
        <f aca="false">K21*K22</f>
        <v>6353.88150293437</v>
      </c>
      <c r="L23" s="12" t="n">
        <f aca="false">L21*L22</f>
        <v>9917.86192833859</v>
      </c>
      <c r="M23" s="12" t="n">
        <f aca="false">M21*M22</f>
        <v>14361.1741906847</v>
      </c>
      <c r="N23" s="12" t="n">
        <f aca="false">N21*N22</f>
        <v>16775.5746323944</v>
      </c>
      <c r="O23" s="12" t="n">
        <f aca="false">O21*O22</f>
        <v>19130.0173322308</v>
      </c>
      <c r="P23" s="12" t="n">
        <f aca="false">P21*P22</f>
        <v>21413.251661067</v>
      </c>
      <c r="Q23" s="12" t="n">
        <f aca="false">Q21*Q22</f>
        <v>23523.1104126032</v>
      </c>
      <c r="R23" s="12" t="n">
        <f aca="false">R21*R22</f>
        <v>25472.3451968214</v>
      </c>
      <c r="S23" s="12" t="n">
        <f aca="false">S21*S22</f>
        <v>27272.8222440987</v>
      </c>
      <c r="T23" s="12" t="n">
        <f aca="false">T21*T22</f>
        <v>28841.8270009927</v>
      </c>
      <c r="U23" s="12" t="n">
        <f aca="false">U21*U22</f>
        <v>29858.1561672071</v>
      </c>
    </row>
    <row r="24" customFormat="false" ht="15" hidden="false" customHeight="false" outlineLevel="0" collapsed="false">
      <c r="A24" s="2" t="s">
        <v>242</v>
      </c>
      <c r="B24" s="2" t="s">
        <v>28</v>
      </c>
      <c r="D24" s="12" t="n">
        <f aca="false">D21-D23</f>
        <v>1875</v>
      </c>
      <c r="E24" s="12" t="n">
        <f aca="false">E21-E23</f>
        <v>6176.25</v>
      </c>
      <c r="F24" s="12" t="n">
        <f aca="false">F21-F23</f>
        <v>13356.6354</v>
      </c>
      <c r="G24" s="12" t="n">
        <f aca="false">G21-G23</f>
        <v>23725.467967008</v>
      </c>
      <c r="H24" s="12" t="n">
        <f aca="false">H21-H23</f>
        <v>36886.6233799038</v>
      </c>
      <c r="I24" s="12" t="n">
        <f aca="false">I21-I23</f>
        <v>52598.8135829104</v>
      </c>
      <c r="J24" s="12" t="n">
        <f aca="false">J21-J23</f>
        <v>69980.8452174214</v>
      </c>
      <c r="K24" s="12" t="n">
        <f aca="false">K21-K23</f>
        <v>88954.3410410812</v>
      </c>
      <c r="L24" s="12" t="n">
        <f aca="false">L21-L23</f>
        <v>109096.481211724</v>
      </c>
      <c r="M24" s="12" t="n">
        <f aca="false">M21-M23</f>
        <v>129250.567716162</v>
      </c>
      <c r="N24" s="12" t="n">
        <f aca="false">N21-N23</f>
        <v>150980.17169155</v>
      </c>
      <c r="O24" s="12" t="n">
        <f aca="false">O21-O23</f>
        <v>172170.155990077</v>
      </c>
      <c r="P24" s="12" t="n">
        <f aca="false">P21-P23</f>
        <v>192719.264949603</v>
      </c>
      <c r="Q24" s="12" t="n">
        <f aca="false">Q21-Q23</f>
        <v>211707.993713429</v>
      </c>
      <c r="R24" s="12" t="n">
        <f aca="false">R21-R23</f>
        <v>229251.106771392</v>
      </c>
      <c r="S24" s="12" t="n">
        <f aca="false">S21-S23</f>
        <v>245455.400196888</v>
      </c>
      <c r="T24" s="12" t="n">
        <f aca="false">T21-T23</f>
        <v>259576.443008935</v>
      </c>
      <c r="U24" s="12" t="n">
        <f aca="false">U21-U23</f>
        <v>268723.405504864</v>
      </c>
    </row>
    <row r="25" customFormat="false" ht="15" hidden="false" customHeight="false" outlineLevel="0" collapsed="false">
      <c r="A25" s="2" t="s">
        <v>243</v>
      </c>
      <c r="B25" s="2" t="s">
        <v>28</v>
      </c>
      <c r="D25" s="12" t="n">
        <f aca="false">(0+D21)/2</f>
        <v>937.5</v>
      </c>
      <c r="E25" s="12" t="n">
        <f aca="false">(D21+E21)/2</f>
        <v>4025.625</v>
      </c>
      <c r="F25" s="12" t="n">
        <f aca="false">(E21+F21)/2</f>
        <v>9766.4427</v>
      </c>
      <c r="G25" s="12" t="n">
        <f aca="false">(F21+G21)/2</f>
        <v>18541.051683504</v>
      </c>
      <c r="H25" s="12" t="n">
        <f aca="false">(G21+H21)/2</f>
        <v>30618.6441766754</v>
      </c>
      <c r="I25" s="12" t="n">
        <f aca="false">(H21+I21)/2</f>
        <v>45962.1930808837</v>
      </c>
      <c r="J25" s="12" t="n">
        <f aca="false">(I21+J21)/2</f>
        <v>64038.3066863551</v>
      </c>
      <c r="K25" s="12" t="n">
        <f aca="false">(J21+K21)/2</f>
        <v>84486.1350706506</v>
      </c>
      <c r="L25" s="12" t="n">
        <f aca="false">(K21+L21)/2</f>
        <v>107161.282842039</v>
      </c>
      <c r="M25" s="12" t="n">
        <f aca="false">(L21+M21)/2</f>
        <v>131313.042523455</v>
      </c>
      <c r="N25" s="12" t="n">
        <f aca="false">(M21+N21)/2</f>
        <v>155683.744115396</v>
      </c>
      <c r="O25" s="12" t="n">
        <f aca="false">(N21+O21)/2</f>
        <v>179527.959823126</v>
      </c>
      <c r="P25" s="12" t="n">
        <f aca="false">(O21+P21)/2</f>
        <v>202716.344966489</v>
      </c>
      <c r="Q25" s="12" t="n">
        <f aca="false">(P21+Q21)/2</f>
        <v>224681.810368351</v>
      </c>
      <c r="R25" s="12" t="n">
        <f aca="false">(Q21+R21)/2</f>
        <v>244977.278047123</v>
      </c>
      <c r="S25" s="12" t="n">
        <f aca="false">(R21+S21)/2</f>
        <v>263725.8372046</v>
      </c>
      <c r="T25" s="12" t="n">
        <f aca="false">(S21+T21)/2</f>
        <v>280573.246225457</v>
      </c>
      <c r="U25" s="12" t="n">
        <f aca="false">(T21+U21)/2</f>
        <v>293499.915840999</v>
      </c>
    </row>
    <row r="26" customFormat="false" ht="15" hidden="false" customHeight="false" outlineLevel="0" collapsed="false">
      <c r="A26" s="6" t="s">
        <v>244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customFormat="false" ht="15" hidden="false" customHeight="false" outlineLevel="0" collapsed="false">
      <c r="A27" s="2" t="s">
        <v>245</v>
      </c>
      <c r="B27" s="2" t="s">
        <v>233</v>
      </c>
      <c r="D27" s="11" t="n">
        <f aca="false">IF(0&gt;0,0/0,0)</f>
        <v>0</v>
      </c>
      <c r="E27" s="11" t="n">
        <f aca="false">IF(D11&gt;0,D30/D11,0)</f>
        <v>0.5</v>
      </c>
      <c r="F27" s="11" t="n">
        <f aca="false">IF(E11&gt;0,E30/E11,0)</f>
        <v>0.680578512396694</v>
      </c>
      <c r="G27" s="11" t="n">
        <f aca="false">IF(F11&gt;0,F30/F11,0)</f>
        <v>0.84059199318569</v>
      </c>
      <c r="H27" s="11" t="n">
        <f aca="false">IF(G11&gt;0,G30/G11,0)</f>
        <v>0.986052064653316</v>
      </c>
      <c r="I27" s="11" t="n">
        <f aca="false">IF(H11&gt;0,H30/H11,0)</f>
        <v>1.12018111974578</v>
      </c>
      <c r="J27" s="11" t="n">
        <f aca="false">IF(I11&gt;0,I30/I11,0)</f>
        <v>1.23316878482086</v>
      </c>
      <c r="K27" s="11" t="n">
        <f aca="false">IF(J11&gt;0,J30/J11,0)</f>
        <v>1.36484235193186</v>
      </c>
      <c r="L27" s="11" t="n">
        <f aca="false">IF(K11&gt;0,K30/K11,0)</f>
        <v>1.51236823527321</v>
      </c>
      <c r="M27" s="11" t="n">
        <f aca="false">IF(L11&gt;0,L30/L11,0)</f>
        <v>1.66880502535426</v>
      </c>
      <c r="N27" s="11" t="n">
        <f aca="false">IF(M11&gt;0,M30/M11,0)</f>
        <v>1.818159864075</v>
      </c>
      <c r="O27" s="11" t="n">
        <f aca="false">IF(N11&gt;0,N30/N11,0)</f>
        <v>1.99283334046565</v>
      </c>
      <c r="P27" s="11" t="n">
        <f aca="false">IF(O11&gt;0,O30/O11,0)</f>
        <v>2.1498126866486</v>
      </c>
      <c r="Q27" s="11" t="n">
        <f aca="false">IF(P11&gt;0,P30/P11,0)</f>
        <v>2.29192941003551</v>
      </c>
      <c r="R27" s="11" t="n">
        <f aca="false">IF(Q11&gt;0,Q30/Q11,0)</f>
        <v>2.45970305455758</v>
      </c>
      <c r="S27" s="11" t="n">
        <f aca="false">IF(R11&gt;0,R30/R11,0)</f>
        <v>2.60772605175659</v>
      </c>
      <c r="T27" s="11" t="n">
        <f aca="false">IF(S11&gt;0,S30/S11,0)</f>
        <v>2.73885933315321</v>
      </c>
      <c r="U27" s="11" t="n">
        <f aca="false">IF(T11&gt;0,T30/T11,0)</f>
        <v>2.9009375975221</v>
      </c>
    </row>
    <row r="28" customFormat="false" ht="15" hidden="false" customHeight="false" outlineLevel="0" collapsed="false">
      <c r="A28" s="2" t="s">
        <v>246</v>
      </c>
      <c r="B28" s="2" t="s">
        <v>28</v>
      </c>
      <c r="C28" s="12" t="n">
        <f aca="false">SUM(D28:U28)</f>
        <v>172355.96964134</v>
      </c>
      <c r="D28" s="12" t="n">
        <f aca="false">D12*D27</f>
        <v>0</v>
      </c>
      <c r="E28" s="12" t="n">
        <f aca="false">E12*E27</f>
        <v>150</v>
      </c>
      <c r="F28" s="12" t="n">
        <f aca="false">F12*F27</f>
        <v>494.1</v>
      </c>
      <c r="G28" s="12" t="n">
        <f aca="false">G12*G27</f>
        <v>1065.8034</v>
      </c>
      <c r="H28" s="12" t="n">
        <f aca="false">H12*H27</f>
        <v>1889.7553716</v>
      </c>
      <c r="I28" s="12" t="n">
        <f aca="false">I12*I27</f>
        <v>2983.2299387784</v>
      </c>
      <c r="J28" s="12" t="n">
        <f aca="false">J12*J27</f>
        <v>4316.23143781718</v>
      </c>
      <c r="K28" s="12" t="n">
        <f aca="false">K12*K27</f>
        <v>5828.02009911798</v>
      </c>
      <c r="L28" s="12" t="n">
        <f aca="false">L12*L27</f>
        <v>7529.3200641651</v>
      </c>
      <c r="M28" s="12" t="n">
        <f aca="false">M12*M27</f>
        <v>9395.73415593234</v>
      </c>
      <c r="N28" s="12" t="n">
        <f aca="false">N12*N27</f>
        <v>11326.7713985487</v>
      </c>
      <c r="O28" s="12" t="n">
        <f aca="false">O12*O27</f>
        <v>13215.3059688944</v>
      </c>
      <c r="P28" s="12" t="n">
        <f aca="false">P12*P27</f>
        <v>15050.6285620514</v>
      </c>
      <c r="Q28" s="12" t="n">
        <f aca="false">Q12*Q27</f>
        <v>16824.6644168517</v>
      </c>
      <c r="R28" s="12" t="n">
        <f aca="false">R12*R27</f>
        <v>18456.5385496576</v>
      </c>
      <c r="S28" s="12" t="n">
        <f aca="false">S12*S27</f>
        <v>19957.6539937836</v>
      </c>
      <c r="T28" s="12" t="n">
        <f aca="false">T12*T27</f>
        <v>21338.4977478392</v>
      </c>
      <c r="U28" s="12" t="n">
        <f aca="false">U12*U27</f>
        <v>22533.7145363019</v>
      </c>
    </row>
    <row r="29" customFormat="false" ht="15" hidden="false" customHeight="false" outlineLevel="0" collapsed="false">
      <c r="A29" s="2" t="s">
        <v>247</v>
      </c>
      <c r="B29" s="2" t="s">
        <v>28</v>
      </c>
      <c r="C29" s="12" t="n">
        <f aca="false">SUM(D29:U29)</f>
        <v>105169.311007818</v>
      </c>
      <c r="D29" s="12" t="n">
        <f aca="false">(0-D28)*Assumptions!$D$20*D6</f>
        <v>0</v>
      </c>
      <c r="E29" s="12" t="n">
        <f aca="false">(D30-E28)*Assumptions!$D$20*E6</f>
        <v>86.25</v>
      </c>
      <c r="F29" s="12" t="n">
        <f aca="false">(E30-F28)*Assumptions!$D$20*F6</f>
        <v>284.1075</v>
      </c>
      <c r="G29" s="12" t="n">
        <f aca="false">(F30-G28)*Assumptions!$D$20*G6</f>
        <v>612.836955</v>
      </c>
      <c r="H29" s="12" t="n">
        <f aca="false">(G30-H28)*Assumptions!$D$20*H6</f>
        <v>1086.60933867</v>
      </c>
      <c r="I29" s="12" t="n">
        <f aca="false">(H30-I28)*Assumptions!$D$20*I6</f>
        <v>2229.96437923685</v>
      </c>
      <c r="J29" s="12" t="n">
        <f aca="false">(I30-J28)*Assumptions!$D$20*J6</f>
        <v>3474.56630744283</v>
      </c>
      <c r="K29" s="12" t="n">
        <f aca="false">(J30-K28)*Assumptions!$D$20*K6</f>
        <v>4021.33386839141</v>
      </c>
      <c r="L29" s="12" t="n">
        <f aca="false">(K30-L28)*Assumptions!$D$20*L6</f>
        <v>4329.35903689493</v>
      </c>
      <c r="M29" s="12" t="n">
        <f aca="false">(L30-M28)*Assumptions!$D$20*M6</f>
        <v>5402.5471396611</v>
      </c>
      <c r="N29" s="12" t="n">
        <f aca="false">(M30-N28)*Assumptions!$D$20*N6</f>
        <v>6512.89355416553</v>
      </c>
      <c r="O29" s="12" t="n">
        <f aca="false">(N30-O28)*Assumptions!$D$20*O6</f>
        <v>7598.80093211427</v>
      </c>
      <c r="P29" s="12" t="n">
        <f aca="false">(O30-P28)*Assumptions!$D$20*P6</f>
        <v>8654.11142317957</v>
      </c>
      <c r="Q29" s="12" t="n">
        <f aca="false">(P30-Q28)*Assumptions!$D$20*Q6</f>
        <v>9674.18203968972</v>
      </c>
      <c r="R29" s="12" t="n">
        <f aca="false">(Q30-R28)*Assumptions!$D$20*R6</f>
        <v>10612.5096660531</v>
      </c>
      <c r="S29" s="12" t="n">
        <f aca="false">(R30-S28)*Assumptions!$D$20*S6</f>
        <v>11475.6510464256</v>
      </c>
      <c r="T29" s="12" t="n">
        <f aca="false">(S30-T28)*Assumptions!$D$20*T6</f>
        <v>12269.6362050075</v>
      </c>
      <c r="U29" s="12" t="n">
        <f aca="false">(T30-U28)*Assumptions!$D$20*U6</f>
        <v>16843.9516158857</v>
      </c>
    </row>
    <row r="30" customFormat="false" ht="15" hidden="false" customHeight="false" outlineLevel="0" collapsed="false">
      <c r="A30" s="2" t="s">
        <v>248</v>
      </c>
      <c r="B30" s="2" t="s">
        <v>28</v>
      </c>
      <c r="D30" s="12" t="n">
        <f aca="false">0+D16-D28-D29</f>
        <v>1875</v>
      </c>
      <c r="E30" s="12" t="n">
        <f aca="false">D30+E16-E28-E29</f>
        <v>6176.25</v>
      </c>
      <c r="F30" s="12" t="n">
        <f aca="false">E30+F16-F28-F29</f>
        <v>13322.5425</v>
      </c>
      <c r="G30" s="12" t="n">
        <f aca="false">F30+G16-G28-G29</f>
        <v>23621.942145</v>
      </c>
      <c r="H30" s="12" t="n">
        <f aca="false">G30+H16-H28-H29</f>
        <v>37290.37423473</v>
      </c>
      <c r="I30" s="12" t="n">
        <f aca="false">H30+I16-I28-I29</f>
        <v>53952.8929727148</v>
      </c>
      <c r="J30" s="12" t="n">
        <f aca="false">I30+J16-J28-J29</f>
        <v>72850.2512389747</v>
      </c>
      <c r="K30" s="12" t="n">
        <f aca="false">J30+K16-K28-K29</f>
        <v>94116.5008020638</v>
      </c>
      <c r="L30" s="12" t="n">
        <f aca="false">K30+L16-L28-L29</f>
        <v>117446.676949154</v>
      </c>
      <c r="M30" s="12" t="n">
        <f aca="false">L30+M16-M28-M29</f>
        <v>141584.642481859</v>
      </c>
      <c r="N30" s="12" t="n">
        <f aca="false">M30+N16-N28-N29</f>
        <v>165191.32461118</v>
      </c>
      <c r="O30" s="12" t="n">
        <f aca="false">N30+O16-O28-O29</f>
        <v>188132.857025643</v>
      </c>
      <c r="P30" s="12" t="n">
        <f aca="false">O30+P16-P28-P29</f>
        <v>210308.305210646</v>
      </c>
      <c r="Q30" s="12" t="n">
        <f aca="false">P30+Q16-Q28-Q29</f>
        <v>230706.73187072</v>
      </c>
      <c r="R30" s="12" t="n">
        <f aca="false">Q30+R16-R28-R29</f>
        <v>249470.674922295</v>
      </c>
      <c r="S30" s="12" t="n">
        <f aca="false">R30+S16-S28-S29</f>
        <v>266731.22184799</v>
      </c>
      <c r="T30" s="12" t="n">
        <f aca="false">S30+T16-T28-T29</f>
        <v>281671.431703774</v>
      </c>
      <c r="U30" s="12" t="n">
        <f aca="false">T30+U16-U28-U29</f>
        <v>290708.241855527</v>
      </c>
    </row>
    <row r="31" customFormat="false" ht="15" hidden="false" customHeight="false" outlineLevel="0" collapsed="false">
      <c r="A31" s="9" t="s">
        <v>249</v>
      </c>
      <c r="B31" s="2" t="s">
        <v>28</v>
      </c>
      <c r="D31" s="10" t="n">
        <f aca="false">D21-D30</f>
        <v>0</v>
      </c>
      <c r="E31" s="10" t="n">
        <f aca="false">E21-E30</f>
        <v>0</v>
      </c>
      <c r="F31" s="10" t="n">
        <f aca="false">F21-F30</f>
        <v>34.0928999999996</v>
      </c>
      <c r="G31" s="10" t="n">
        <f aca="false">G21-G30</f>
        <v>103.525822008</v>
      </c>
      <c r="H31" s="10" t="n">
        <f aca="false">H21-H30</f>
        <v>221.446151612872</v>
      </c>
      <c r="I31" s="10" t="n">
        <f aca="false">I21-I30</f>
        <v>459.672802709785</v>
      </c>
      <c r="J31" s="10" t="n">
        <f aca="false">J21-J30</f>
        <v>813.796358310981</v>
      </c>
      <c r="K31" s="10" t="n">
        <f aca="false">K21-K30</f>
        <v>1191.72174195175</v>
      </c>
      <c r="L31" s="10" t="n">
        <f aca="false">L21-L30</f>
        <v>1567.6661909088</v>
      </c>
      <c r="M31" s="10" t="n">
        <f aca="false">M21-M30</f>
        <v>2027.09942498745</v>
      </c>
      <c r="N31" s="10" t="n">
        <f aca="false">N21-N30</f>
        <v>2564.4217127648</v>
      </c>
      <c r="O31" s="10" t="n">
        <f aca="false">O21-O30</f>
        <v>3167.31629666459</v>
      </c>
      <c r="P31" s="10" t="n">
        <f aca="false">P21-P30</f>
        <v>3824.21140002398</v>
      </c>
      <c r="Q31" s="10" t="n">
        <f aca="false">Q21-Q30</f>
        <v>4524.37225531184</v>
      </c>
      <c r="R31" s="10" t="n">
        <f aca="false">R21-R30</f>
        <v>5252.77704591819</v>
      </c>
      <c r="S31" s="10" t="n">
        <f aca="false">S21-S30</f>
        <v>5997.00059299701</v>
      </c>
      <c r="T31" s="10" t="n">
        <f aca="false">T21-T30</f>
        <v>6746.8383061536</v>
      </c>
      <c r="U31" s="10" t="n">
        <f aca="false">U21-U30</f>
        <v>7873.31981654454</v>
      </c>
    </row>
    <row r="32" customFormat="false" ht="15" hidden="false" customHeight="false" outlineLevel="0" collapsed="false">
      <c r="A32" s="6" t="s">
        <v>250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customFormat="false" ht="15" hidden="false" customHeight="false" outlineLevel="0" collapsed="false">
      <c r="A33" s="2" t="s">
        <v>251</v>
      </c>
      <c r="B33" s="2" t="s">
        <v>28</v>
      </c>
      <c r="C33" s="12" t="n">
        <f aca="false">SUM(D33:U33)</f>
        <v>885.316511400875</v>
      </c>
      <c r="D33" s="12" t="n">
        <f aca="false">D25*(1-D22)*Assumptions!$D$24/12</f>
        <v>0.390625</v>
      </c>
      <c r="E33" s="12" t="n">
        <f aca="false">E25*(1-E22)*Assumptions!$D$24/12</f>
        <v>1.67734375</v>
      </c>
      <c r="F33" s="12" t="n">
        <f aca="false">F25*(1-F22)*Assumptions!$D$24/12</f>
        <v>4.069351125</v>
      </c>
      <c r="G33" s="12" t="n">
        <f aca="false">G25*(1-G22)*Assumptions!$D$24/12</f>
        <v>7.72543820146</v>
      </c>
      <c r="H33" s="12" t="n">
        <f aca="false">H25*(1-H22)*Assumptions!$D$24/12</f>
        <v>12.545138933499</v>
      </c>
      <c r="I33" s="12" t="n">
        <f aca="false">I25*(1-I22)*Assumptions!$D$24/12</f>
        <v>18.5125499909115</v>
      </c>
      <c r="J33" s="12" t="n">
        <f aca="false">J25*(1-J22)*Assumptions!$D$24/12</f>
        <v>25.3484963966822</v>
      </c>
      <c r="K33" s="12" t="n">
        <f aca="false">K25*(1-K22)*Assumptions!$D$24/12</f>
        <v>32.8557191941419</v>
      </c>
      <c r="L33" s="12" t="n">
        <f aca="false">L25*(1-L22)*Assumptions!$D$24/12</f>
        <v>40.9296566410567</v>
      </c>
      <c r="M33" s="12" t="n">
        <f aca="false">M25*(1-M22)*Assumptions!$D$24/12</f>
        <v>49.2423909462956</v>
      </c>
      <c r="N33" s="12" t="n">
        <f aca="false">N25*(1-N22)*Assumptions!$D$24/12</f>
        <v>58.3814040432734</v>
      </c>
      <c r="O33" s="12" t="n">
        <f aca="false">O25*(1-O22)*Assumptions!$D$24/12</f>
        <v>67.3229849336723</v>
      </c>
      <c r="P33" s="12" t="n">
        <f aca="false">P25*(1-P22)*Assumptions!$D$24/12</f>
        <v>76.0186293624333</v>
      </c>
      <c r="Q33" s="12" t="n">
        <f aca="false">Q25*(1-Q22)*Assumptions!$D$24/12</f>
        <v>84.2556788881316</v>
      </c>
      <c r="R33" s="12" t="n">
        <f aca="false">R25*(1-R22)*Assumptions!$D$24/12</f>
        <v>91.866479267671</v>
      </c>
      <c r="S33" s="12" t="n">
        <f aca="false">S25*(1-S22)*Assumptions!$D$24/12</f>
        <v>98.897188951725</v>
      </c>
      <c r="T33" s="12" t="n">
        <f aca="false">T25*(1-T22)*Assumptions!$D$24/12</f>
        <v>105.214967334546</v>
      </c>
      <c r="U33" s="12" t="n">
        <f aca="false">U25*(1-U22)*Assumptions!$D$24/12</f>
        <v>110.062468440375</v>
      </c>
    </row>
    <row r="34" customFormat="false" ht="15" hidden="false" customHeight="false" outlineLevel="0" collapsed="false">
      <c r="A34" s="2" t="s">
        <v>252</v>
      </c>
      <c r="B34" s="2" t="s">
        <v>28</v>
      </c>
      <c r="C34" s="12" t="n">
        <f aca="false">SUM(D34:U34)</f>
        <v>144.984488662003</v>
      </c>
      <c r="D34" s="12" t="n">
        <f aca="false">D25*D22*Assumptions!$D$25/12</f>
        <v>0</v>
      </c>
      <c r="E34" s="12" t="n">
        <f aca="false">E25*E22*Assumptions!$D$25/12</f>
        <v>0</v>
      </c>
      <c r="F34" s="12" t="n">
        <f aca="false">F25*F22*Assumptions!$D$25/12</f>
        <v>0</v>
      </c>
      <c r="G34" s="12" t="n">
        <f aca="false">G25*G22*Assumptions!$D$25/12</f>
        <v>0</v>
      </c>
      <c r="H34" s="12" t="n">
        <f aca="false">H25*H22*Assumptions!$D$25/12</f>
        <v>0.340207157518616</v>
      </c>
      <c r="I34" s="12" t="n">
        <f aca="false">I25*I22*Assumptions!$D$25/12</f>
        <v>1.02138206846408</v>
      </c>
      <c r="J34" s="12" t="n">
        <f aca="false">J25*J22*Assumptions!$D$25/12</f>
        <v>2.1346102228785</v>
      </c>
      <c r="K34" s="12" t="n">
        <f aca="false">K25*K22*Assumptions!$D$25/12</f>
        <v>3.75493933647336</v>
      </c>
      <c r="L34" s="12" t="n">
        <f aca="false">L25*L22*Assumptions!$D$25/12</f>
        <v>5.95340460233552</v>
      </c>
      <c r="M34" s="12" t="n">
        <f aca="false">M25*M22*Assumptions!$D$25/12</f>
        <v>8.754202834897</v>
      </c>
      <c r="N34" s="12" t="n">
        <f aca="false">N25*N22*Assumptions!$D$25/12</f>
        <v>10.3789162743597</v>
      </c>
      <c r="O34" s="12" t="n">
        <f aca="false">O25*O22*Assumptions!$D$25/12</f>
        <v>11.9685306548751</v>
      </c>
      <c r="P34" s="12" t="n">
        <f aca="false">P25*P22*Assumptions!$D$25/12</f>
        <v>13.5144229977659</v>
      </c>
      <c r="Q34" s="12" t="n">
        <f aca="false">Q25*Q22*Assumptions!$D$25/12</f>
        <v>14.9787873578901</v>
      </c>
      <c r="R34" s="12" t="n">
        <f aca="false">R25*R22*Assumptions!$D$25/12</f>
        <v>16.3318185364749</v>
      </c>
      <c r="S34" s="12" t="n">
        <f aca="false">S25*S22*Assumptions!$D$25/12</f>
        <v>17.5817224803067</v>
      </c>
      <c r="T34" s="12" t="n">
        <f aca="false">T25*T22*Assumptions!$D$25/12</f>
        <v>18.7048830816971</v>
      </c>
      <c r="U34" s="12" t="n">
        <f aca="false">U25*U22*Assumptions!$D$25/12</f>
        <v>19.5666610560666</v>
      </c>
    </row>
    <row r="35" customFormat="false" ht="15" hidden="false" customHeight="false" outlineLevel="0" collapsed="false">
      <c r="A35" s="2" t="s">
        <v>253</v>
      </c>
      <c r="B35" s="2" t="s">
        <v>28</v>
      </c>
      <c r="C35" s="12" t="n">
        <f aca="false">SUM(D35:U35)</f>
        <v>1030.30100006288</v>
      </c>
      <c r="D35" s="12" t="n">
        <f aca="false">D33+D34</f>
        <v>0.390625</v>
      </c>
      <c r="E35" s="12" t="n">
        <f aca="false">E33+E34</f>
        <v>1.67734375</v>
      </c>
      <c r="F35" s="12" t="n">
        <f aca="false">F33+F34</f>
        <v>4.069351125</v>
      </c>
      <c r="G35" s="12" t="n">
        <f aca="false">G33+G34</f>
        <v>7.72543820146</v>
      </c>
      <c r="H35" s="12" t="n">
        <f aca="false">H33+H34</f>
        <v>12.8853460910176</v>
      </c>
      <c r="I35" s="12" t="n">
        <f aca="false">I33+I34</f>
        <v>19.5339320593756</v>
      </c>
      <c r="J35" s="12" t="n">
        <f aca="false">J33+J34</f>
        <v>27.4831066195607</v>
      </c>
      <c r="K35" s="12" t="n">
        <f aca="false">K33+K34</f>
        <v>36.6106585306153</v>
      </c>
      <c r="L35" s="12" t="n">
        <f aca="false">L33+L34</f>
        <v>46.8830612433922</v>
      </c>
      <c r="M35" s="12" t="n">
        <f aca="false">M33+M34</f>
        <v>57.9965937811926</v>
      </c>
      <c r="N35" s="12" t="n">
        <f aca="false">N33+N34</f>
        <v>68.7603203176331</v>
      </c>
      <c r="O35" s="12" t="n">
        <f aca="false">O33+O34</f>
        <v>79.2915155885473</v>
      </c>
      <c r="P35" s="12" t="n">
        <f aca="false">P33+P34</f>
        <v>89.5330523601992</v>
      </c>
      <c r="Q35" s="12" t="n">
        <f aca="false">Q33+Q34</f>
        <v>99.2344662460216</v>
      </c>
      <c r="R35" s="12" t="n">
        <f aca="false">R33+R34</f>
        <v>108.198297804146</v>
      </c>
      <c r="S35" s="12" t="n">
        <f aca="false">S33+S34</f>
        <v>116.478911432032</v>
      </c>
      <c r="T35" s="12" t="n">
        <f aca="false">T33+T34</f>
        <v>123.919850416243</v>
      </c>
      <c r="U35" s="12" t="n">
        <f aca="false">U33+U34</f>
        <v>129.629129496441</v>
      </c>
    </row>
    <row r="36" customFormat="false" ht="15" hidden="false" customHeight="false" outlineLevel="0" collapsed="false">
      <c r="A36" s="9" t="s">
        <v>254</v>
      </c>
      <c r="B36" s="2" t="s">
        <v>28</v>
      </c>
      <c r="C36" s="10" t="n">
        <f aca="false">SUM(D36:U36)</f>
        <v>721.210700044014</v>
      </c>
      <c r="D36" s="10" t="n">
        <f aca="false">D35*Assumptions!$D$26</f>
        <v>0.2734375</v>
      </c>
      <c r="E36" s="10" t="n">
        <f aca="false">E35*Assumptions!$D$26</f>
        <v>1.174140625</v>
      </c>
      <c r="F36" s="10" t="n">
        <f aca="false">F35*Assumptions!$D$26</f>
        <v>2.8485457875</v>
      </c>
      <c r="G36" s="10" t="n">
        <f aca="false">G35*Assumptions!$D$26</f>
        <v>5.407806741022</v>
      </c>
      <c r="H36" s="10" t="n">
        <f aca="false">H35*Assumptions!$D$26</f>
        <v>9.0197422637123</v>
      </c>
      <c r="I36" s="10" t="n">
        <f aca="false">I35*Assumptions!$D$26</f>
        <v>13.6737524415629</v>
      </c>
      <c r="J36" s="10" t="n">
        <f aca="false">J35*Assumptions!$D$26</f>
        <v>19.2381746336925</v>
      </c>
      <c r="K36" s="10" t="n">
        <f aca="false">K35*Assumptions!$D$26</f>
        <v>25.6274609714307</v>
      </c>
      <c r="L36" s="10" t="n">
        <f aca="false">L35*Assumptions!$D$26</f>
        <v>32.8181428703745</v>
      </c>
      <c r="M36" s="10" t="n">
        <f aca="false">M35*Assumptions!$D$26</f>
        <v>40.5976156468348</v>
      </c>
      <c r="N36" s="10" t="n">
        <f aca="false">N35*Assumptions!$D$26</f>
        <v>48.1322242223432</v>
      </c>
      <c r="O36" s="10" t="n">
        <f aca="false">O35*Assumptions!$D$26</f>
        <v>55.5040609119831</v>
      </c>
      <c r="P36" s="10" t="n">
        <f aca="false">P35*Assumptions!$D$26</f>
        <v>62.6731366521394</v>
      </c>
      <c r="Q36" s="10" t="n">
        <f aca="false">Q35*Assumptions!$D$26</f>
        <v>69.4641263722152</v>
      </c>
      <c r="R36" s="10" t="n">
        <f aca="false">R35*Assumptions!$D$26</f>
        <v>75.7388084629021</v>
      </c>
      <c r="S36" s="10" t="n">
        <f aca="false">S35*Assumptions!$D$26</f>
        <v>81.5352380024222</v>
      </c>
      <c r="T36" s="10" t="n">
        <f aca="false">T35*Assumptions!$D$26</f>
        <v>86.7438952913704</v>
      </c>
      <c r="U36" s="10" t="n">
        <f aca="false">U35*Assumptions!$D$26</f>
        <v>90.740390647509</v>
      </c>
    </row>
    <row r="37" customFormat="false" ht="15" hidden="false" customHeight="false" outlineLevel="0" collapsed="false">
      <c r="A37" s="2" t="s">
        <v>255</v>
      </c>
      <c r="B37" s="2" t="s">
        <v>58</v>
      </c>
      <c r="D37" s="19" t="n">
        <f aca="false">IF(D11&gt;0,SUM(D71:D88)/D11,0)</f>
        <v>0</v>
      </c>
      <c r="E37" s="19" t="n">
        <f aca="false">IF(E11&gt;0,SUM(E71:E88)/E11,0)</f>
        <v>0</v>
      </c>
      <c r="F37" s="19" t="n">
        <f aca="false">IF(F11&gt;0,SUM(F71:F88)/F11,0)</f>
        <v>0</v>
      </c>
      <c r="G37" s="19" t="n">
        <f aca="false">IF(G11&gt;0,SUM(G71:G88)/G11,0)</f>
        <v>0.000325</v>
      </c>
      <c r="H37" s="19" t="n">
        <f aca="false">IF(H11&gt;0,SUM(H71:H88)/H11,0)</f>
        <v>0.000540168379826662</v>
      </c>
      <c r="I37" s="19" t="n">
        <f aca="false">IF(I11&gt;0,SUM(I71:I88)/I11,0)</f>
        <v>0.000703123148042082</v>
      </c>
      <c r="J37" s="19" t="n">
        <f aca="false">IF(J11&gt;0,SUM(J71:J88)/J11,0)</f>
        <v>0.00096881144607965</v>
      </c>
      <c r="K37" s="19" t="n">
        <f aca="false">IF(K11&gt;0,SUM(K71:K88)/K11,0)</f>
        <v>0.00106353013960243</v>
      </c>
      <c r="L37" s="19" t="n">
        <f aca="false">IF(L11&gt;0,SUM(L71:L88)/L11,0)</f>
        <v>0.00113469807380202</v>
      </c>
      <c r="M37" s="19" t="n">
        <f aca="false">IF(M11&gt;0,SUM(M71:M88)/M11,0)</f>
        <v>0.00118814271554807</v>
      </c>
      <c r="N37" s="19" t="n">
        <f aca="false">IF(N11&gt;0,SUM(N71:N88)/N11,0)</f>
        <v>0.00127037065587169</v>
      </c>
      <c r="O37" s="19" t="n">
        <f aca="false">IF(O11&gt;0,SUM(O71:O88)/O11,0)</f>
        <v>0.00132075228197438</v>
      </c>
      <c r="P37" s="19" t="n">
        <f aca="false">IF(P11&gt;0,SUM(P71:P88)/P11,0)</f>
        <v>0.00135848498832577</v>
      </c>
      <c r="Q37" s="19" t="n">
        <f aca="false">IF(Q11&gt;0,SUM(Q71:Q88)/Q11,0)</f>
        <v>0.00140141533879404</v>
      </c>
      <c r="R37" s="19" t="n">
        <f aca="false">IF(R11&gt;0,SUM(R71:R88)/R11,0)</f>
        <v>0.00143252593040993</v>
      </c>
      <c r="S37" s="19" t="n">
        <f aca="false">IF(S11&gt;0,SUM(S71:S88)/S11,0)</f>
        <v>0.00145479556435967</v>
      </c>
      <c r="T37" s="19" t="n">
        <f aca="false">IF(T11&gt;0,SUM(T71:T88)/T11,0)</f>
        <v>0.0014870247933834</v>
      </c>
      <c r="U37" s="19" t="n">
        <f aca="false">IF(U11&gt;0,SUM(U71:U88)/U11,0)</f>
        <v>0.00150875095696643</v>
      </c>
    </row>
    <row r="38" customFormat="false" ht="15" hidden="false" customHeight="false" outlineLevel="0" collapsed="false">
      <c r="A38" s="2" t="s">
        <v>256</v>
      </c>
      <c r="B38" s="2" t="s">
        <v>28</v>
      </c>
      <c r="C38" s="12" t="n">
        <f aca="false">SUM(D38:U38)</f>
        <v>233.835082041605</v>
      </c>
      <c r="D38" s="12" t="n">
        <f aca="false">D25*(1-D22)*D37/12</f>
        <v>0</v>
      </c>
      <c r="E38" s="12" t="n">
        <f aca="false">E25*(1-E22)*E37/12</f>
        <v>0</v>
      </c>
      <c r="F38" s="12" t="n">
        <f aca="false">F25*(1-F22)*F37/12</f>
        <v>0</v>
      </c>
      <c r="G38" s="12" t="n">
        <f aca="false">G25*(1-G22)*G37/12</f>
        <v>0.5021534830949</v>
      </c>
      <c r="H38" s="12" t="n">
        <f aca="false">H25*(1-H22)*H37/12</f>
        <v>1.3552974744817</v>
      </c>
      <c r="I38" s="12" t="n">
        <f aca="false">I25*(1-I22)*I37/12</f>
        <v>2.60332048557922</v>
      </c>
      <c r="J38" s="12" t="n">
        <f aca="false">J25*(1-J22)*J37/12</f>
        <v>4.91158269000291</v>
      </c>
      <c r="K38" s="12" t="n">
        <f aca="false">K25*(1-K22)*K37/12</f>
        <v>6.98860952425682</v>
      </c>
      <c r="L38" s="12" t="n">
        <f aca="false">L25*(1-L22)*L37/12</f>
        <v>9.28856051039699</v>
      </c>
      <c r="M38" s="12" t="n">
        <f aca="false">M25*(1-M22)*M37/12</f>
        <v>11.7013976198023</v>
      </c>
      <c r="N38" s="12" t="n">
        <f aca="false">N25*(1-N22)*N37/12</f>
        <v>14.8332045090327</v>
      </c>
      <c r="O38" s="12" t="n">
        <f aca="false">O25*(1-O22)*O37/12</f>
        <v>17.7833971960948</v>
      </c>
      <c r="P38" s="12" t="n">
        <f aca="false">P25*(1-P22)*P37/12</f>
        <v>20.6540333643932</v>
      </c>
      <c r="Q38" s="12" t="n">
        <f aca="false">Q25*(1-Q22)*Q37/12</f>
        <v>23.6154401548666</v>
      </c>
      <c r="R38" s="12" t="n">
        <f aca="false">R25*(1-R22)*R37/12</f>
        <v>26.320222737281</v>
      </c>
      <c r="S38" s="12" t="n">
        <f aca="false">S25*(1-S22)*S37/12</f>
        <v>28.7750383629219</v>
      </c>
      <c r="T38" s="12" t="n">
        <f aca="false">T25*(1-T22)*T37/12</f>
        <v>31.2914530122989</v>
      </c>
      <c r="U38" s="12" t="n">
        <f aca="false">U25*(1-U22)*U37/12</f>
        <v>33.2113709171007</v>
      </c>
    </row>
    <row r="39" customFormat="false" ht="15" hidden="false" customHeight="false" outlineLevel="0" collapsed="false">
      <c r="A39" s="2" t="s">
        <v>35</v>
      </c>
      <c r="B39" s="2" t="s">
        <v>28</v>
      </c>
      <c r="C39" s="12" t="n">
        <f aca="false">SUM(D39:U39)</f>
        <v>21600</v>
      </c>
      <c r="D39" s="12" t="n">
        <f aca="false">D10*Assumptions!$D$16/Assumptions!$D$7</f>
        <v>450</v>
      </c>
      <c r="E39" s="12" t="n">
        <f aca="false">E10*Assumptions!$D$16/Assumptions!$D$7</f>
        <v>675</v>
      </c>
      <c r="F39" s="12" t="n">
        <f aca="false">F10*Assumptions!$D$16/Assumptions!$D$7</f>
        <v>900</v>
      </c>
      <c r="G39" s="12" t="n">
        <f aca="false">G10*Assumptions!$D$16/Assumptions!$D$7</f>
        <v>1125</v>
      </c>
      <c r="H39" s="12" t="n">
        <f aca="false">H10*Assumptions!$D$16/Assumptions!$D$7</f>
        <v>1350</v>
      </c>
      <c r="I39" s="12" t="n">
        <f aca="false">I10*Assumptions!$D$16/Assumptions!$D$7</f>
        <v>1575</v>
      </c>
      <c r="J39" s="12" t="n">
        <f aca="false">J10*Assumptions!$D$16/Assumptions!$D$7</f>
        <v>1575</v>
      </c>
      <c r="K39" s="12" t="n">
        <f aca="false">K10*Assumptions!$D$16/Assumptions!$D$7</f>
        <v>1575</v>
      </c>
      <c r="L39" s="12" t="n">
        <f aca="false">L10*Assumptions!$D$16/Assumptions!$D$7</f>
        <v>1575</v>
      </c>
      <c r="M39" s="12" t="n">
        <f aca="false">M10*Assumptions!$D$16/Assumptions!$D$7</f>
        <v>1575</v>
      </c>
      <c r="N39" s="12" t="n">
        <f aca="false">N10*Assumptions!$D$16/Assumptions!$D$7</f>
        <v>1350</v>
      </c>
      <c r="O39" s="12" t="n">
        <f aca="false">O10*Assumptions!$D$16/Assumptions!$D$7</f>
        <v>1350</v>
      </c>
      <c r="P39" s="12" t="n">
        <f aca="false">P10*Assumptions!$D$16/Assumptions!$D$7</f>
        <v>1350</v>
      </c>
      <c r="Q39" s="12" t="n">
        <f aca="false">Q10*Assumptions!$D$16/Assumptions!$D$7</f>
        <v>1125</v>
      </c>
      <c r="R39" s="12" t="n">
        <f aca="false">R10*Assumptions!$D$16/Assumptions!$D$7</f>
        <v>1125</v>
      </c>
      <c r="S39" s="12" t="n">
        <f aca="false">S10*Assumptions!$D$16/Assumptions!$D$7</f>
        <v>1125</v>
      </c>
      <c r="T39" s="12" t="n">
        <f aca="false">T10*Assumptions!$D$16/Assumptions!$D$7</f>
        <v>900</v>
      </c>
      <c r="U39" s="12" t="n">
        <f aca="false">U10*Assumptions!$D$16/Assumptions!$D$7</f>
        <v>900</v>
      </c>
    </row>
    <row r="40" customFormat="false" ht="15" hidden="false" customHeight="false" outlineLevel="0" collapsed="false">
      <c r="A40" s="2" t="s">
        <v>257</v>
      </c>
      <c r="B40" s="2" t="s">
        <v>28</v>
      </c>
      <c r="C40" s="12" t="n">
        <f aca="false">SUM(D40:U40)</f>
        <v>1500</v>
      </c>
      <c r="D40" s="12" t="n">
        <f aca="false">IF(D4&lt;=Assumptions!$D$40,Assumptions!$D$39/Assumptions!$D$40/Assumptions!$D$7,0)</f>
        <v>500</v>
      </c>
      <c r="E40" s="12" t="n">
        <f aca="false">IF(E4&lt;=Assumptions!$D$40,Assumptions!$D$39/Assumptions!$D$40/Assumptions!$D$7,0)</f>
        <v>500</v>
      </c>
      <c r="F40" s="12" t="n">
        <f aca="false">IF(F4&lt;=Assumptions!$D$40,Assumptions!$D$39/Assumptions!$D$40/Assumptions!$D$7,0)</f>
        <v>500</v>
      </c>
      <c r="G40" s="12" t="n">
        <f aca="false">IF(G4&lt;=Assumptions!$D$40,Assumptions!$D$39/Assumptions!$D$40/Assumptions!$D$7,0)</f>
        <v>0</v>
      </c>
      <c r="H40" s="12" t="n">
        <f aca="false">IF(H4&lt;=Assumptions!$D$40,Assumptions!$D$39/Assumptions!$D$40/Assumptions!$D$7,0)</f>
        <v>0</v>
      </c>
      <c r="I40" s="12" t="n">
        <f aca="false">IF(I4&lt;=Assumptions!$D$40,Assumptions!$D$39/Assumptions!$D$40/Assumptions!$D$7,0)</f>
        <v>0</v>
      </c>
      <c r="J40" s="12" t="n">
        <f aca="false">IF(J4&lt;=Assumptions!$D$40,Assumptions!$D$39/Assumptions!$D$40/Assumptions!$D$7,0)</f>
        <v>0</v>
      </c>
      <c r="K40" s="12" t="n">
        <f aca="false">IF(K4&lt;=Assumptions!$D$40,Assumptions!$D$39/Assumptions!$D$40/Assumptions!$D$7,0)</f>
        <v>0</v>
      </c>
      <c r="L40" s="12" t="n">
        <f aca="false">IF(L4&lt;=Assumptions!$D$40,Assumptions!$D$39/Assumptions!$D$40/Assumptions!$D$7,0)</f>
        <v>0</v>
      </c>
      <c r="M40" s="12" t="n">
        <f aca="false">IF(M4&lt;=Assumptions!$D$40,Assumptions!$D$39/Assumptions!$D$40/Assumptions!$D$7,0)</f>
        <v>0</v>
      </c>
      <c r="N40" s="12" t="n">
        <f aca="false">IF(N4&lt;=Assumptions!$D$40,Assumptions!$D$39/Assumptions!$D$40/Assumptions!$D$7,0)</f>
        <v>0</v>
      </c>
      <c r="O40" s="12" t="n">
        <f aca="false">IF(O4&lt;=Assumptions!$D$40,Assumptions!$D$39/Assumptions!$D$40/Assumptions!$D$7,0)</f>
        <v>0</v>
      </c>
      <c r="P40" s="12" t="n">
        <f aca="false">IF(P4&lt;=Assumptions!$D$40,Assumptions!$D$39/Assumptions!$D$40/Assumptions!$D$7,0)</f>
        <v>0</v>
      </c>
      <c r="Q40" s="12" t="n">
        <f aca="false">IF(Q4&lt;=Assumptions!$D$40,Assumptions!$D$39/Assumptions!$D$40/Assumptions!$D$7,0)</f>
        <v>0</v>
      </c>
      <c r="R40" s="12" t="n">
        <f aca="false">IF(R4&lt;=Assumptions!$D$40,Assumptions!$D$39/Assumptions!$D$40/Assumptions!$D$7,0)</f>
        <v>0</v>
      </c>
      <c r="S40" s="12" t="n">
        <f aca="false">IF(S4&lt;=Assumptions!$D$40,Assumptions!$D$39/Assumptions!$D$40/Assumptions!$D$7,0)</f>
        <v>0</v>
      </c>
      <c r="T40" s="12" t="n">
        <f aca="false">IF(T4&lt;=Assumptions!$D$40,Assumptions!$D$39/Assumptions!$D$40/Assumptions!$D$7,0)</f>
        <v>0</v>
      </c>
      <c r="U40" s="12" t="n">
        <f aca="false">IF(U4&lt;=Assumptions!$D$40,Assumptions!$D$39/Assumptions!$D$40/Assumptions!$D$7,0)</f>
        <v>0</v>
      </c>
    </row>
    <row r="41" customFormat="false" ht="15" hidden="false" customHeight="false" outlineLevel="0" collapsed="false">
      <c r="A41" s="2" t="s">
        <v>258</v>
      </c>
      <c r="B41" s="2" t="s">
        <v>28</v>
      </c>
      <c r="C41" s="12" t="n">
        <f aca="false">SUM(D41:U41)</f>
        <v>2160</v>
      </c>
      <c r="D41" s="12" t="n">
        <f aca="false">Assumptions!$D$41/Assumptions!$D$7</f>
        <v>120</v>
      </c>
      <c r="E41" s="12" t="n">
        <f aca="false">Assumptions!$D$41/Assumptions!$D$7</f>
        <v>120</v>
      </c>
      <c r="F41" s="12" t="n">
        <f aca="false">Assumptions!$D$41/Assumptions!$D$7</f>
        <v>120</v>
      </c>
      <c r="G41" s="12" t="n">
        <f aca="false">Assumptions!$D$41/Assumptions!$D$7</f>
        <v>120</v>
      </c>
      <c r="H41" s="12" t="n">
        <f aca="false">Assumptions!$D$41/Assumptions!$D$7</f>
        <v>120</v>
      </c>
      <c r="I41" s="12" t="n">
        <f aca="false">Assumptions!$D$41/Assumptions!$D$7</f>
        <v>120</v>
      </c>
      <c r="J41" s="12" t="n">
        <f aca="false">Assumptions!$D$41/Assumptions!$D$7</f>
        <v>120</v>
      </c>
      <c r="K41" s="12" t="n">
        <f aca="false">Assumptions!$D$41/Assumptions!$D$7</f>
        <v>120</v>
      </c>
      <c r="L41" s="12" t="n">
        <f aca="false">Assumptions!$D$41/Assumptions!$D$7</f>
        <v>120</v>
      </c>
      <c r="M41" s="12" t="n">
        <f aca="false">Assumptions!$D$41/Assumptions!$D$7</f>
        <v>120</v>
      </c>
      <c r="N41" s="12" t="n">
        <f aca="false">Assumptions!$D$41/Assumptions!$D$7</f>
        <v>120</v>
      </c>
      <c r="O41" s="12" t="n">
        <f aca="false">Assumptions!$D$41/Assumptions!$D$7</f>
        <v>120</v>
      </c>
      <c r="P41" s="12" t="n">
        <f aca="false">Assumptions!$D$41/Assumptions!$D$7</f>
        <v>120</v>
      </c>
      <c r="Q41" s="12" t="n">
        <f aca="false">Assumptions!$D$41/Assumptions!$D$7</f>
        <v>120</v>
      </c>
      <c r="R41" s="12" t="n">
        <f aca="false">Assumptions!$D$41/Assumptions!$D$7</f>
        <v>120</v>
      </c>
      <c r="S41" s="12" t="n">
        <f aca="false">Assumptions!$D$41/Assumptions!$D$7</f>
        <v>120</v>
      </c>
      <c r="T41" s="12" t="n">
        <f aca="false">Assumptions!$D$41/Assumptions!$D$7</f>
        <v>120</v>
      </c>
      <c r="U41" s="12" t="n">
        <f aca="false">Assumptions!$D$41/Assumptions!$D$7</f>
        <v>120</v>
      </c>
    </row>
    <row r="42" customFormat="false" ht="15" hidden="false" customHeight="false" outlineLevel="0" collapsed="false">
      <c r="A42" s="9" t="s">
        <v>259</v>
      </c>
      <c r="B42" s="2" t="s">
        <v>28</v>
      </c>
      <c r="C42" s="10" t="n">
        <f aca="false">SUM(D42:U42)</f>
        <v>-24772.6243819976</v>
      </c>
      <c r="D42" s="10" t="n">
        <f aca="false">D36-D38-D39-D40-D41</f>
        <v>-1069.7265625</v>
      </c>
      <c r="E42" s="10" t="n">
        <f aca="false">E36-E38-E39-E40-E41</f>
        <v>-1293.825859375</v>
      </c>
      <c r="F42" s="10" t="n">
        <f aca="false">F36-F38-F39-F40-F41</f>
        <v>-1517.1514542125</v>
      </c>
      <c r="G42" s="10" t="n">
        <f aca="false">G36-G38-G39-G40-G41</f>
        <v>-1240.09434674207</v>
      </c>
      <c r="H42" s="10" t="n">
        <f aca="false">H36-H38-H39-H40-H41</f>
        <v>-1462.33555521077</v>
      </c>
      <c r="I42" s="10" t="n">
        <f aca="false">I36-I38-I39-I40-I41</f>
        <v>-1683.92956804402</v>
      </c>
      <c r="J42" s="10" t="n">
        <f aca="false">J36-J38-J39-J40-J41</f>
        <v>-1680.67340805631</v>
      </c>
      <c r="K42" s="10" t="n">
        <f aca="false">K36-K38-K39-K40-K41</f>
        <v>-1676.36114855283</v>
      </c>
      <c r="L42" s="10" t="n">
        <f aca="false">L36-L38-L39-L40-L41</f>
        <v>-1671.47041764002</v>
      </c>
      <c r="M42" s="10" t="n">
        <f aca="false">M36-M38-M39-M40-M41</f>
        <v>-1666.10378197297</v>
      </c>
      <c r="N42" s="10" t="n">
        <f aca="false">N36-N38-N39-N40-N41</f>
        <v>-1436.70098028669</v>
      </c>
      <c r="O42" s="10" t="n">
        <f aca="false">O36-O38-O39-O40-O41</f>
        <v>-1432.27933628411</v>
      </c>
      <c r="P42" s="10" t="n">
        <f aca="false">P36-P38-P39-P40-P41</f>
        <v>-1427.98089671225</v>
      </c>
      <c r="Q42" s="10" t="n">
        <f aca="false">Q36-Q38-Q39-Q40-Q41</f>
        <v>-1199.15131378265</v>
      </c>
      <c r="R42" s="10" t="n">
        <f aca="false">R36-R38-R39-R40-R41</f>
        <v>-1195.58141427438</v>
      </c>
      <c r="S42" s="10" t="n">
        <f aca="false">S36-S38-S39-S40-S41</f>
        <v>-1192.2398003605</v>
      </c>
      <c r="T42" s="10" t="n">
        <f aca="false">T36-T38-T39-T40-T41</f>
        <v>-964.547557720929</v>
      </c>
      <c r="U42" s="10" t="n">
        <f aca="false">U36-U38-U39-U40-U41</f>
        <v>-962.470980269592</v>
      </c>
    </row>
    <row r="43" customFormat="false" ht="15" hidden="false" customHeight="false" outlineLevel="0" collapsed="false">
      <c r="A43" s="9" t="s">
        <v>260</v>
      </c>
      <c r="B43" s="2" t="s">
        <v>28</v>
      </c>
      <c r="D43" s="10" t="n">
        <f aca="false">D42</f>
        <v>-1069.7265625</v>
      </c>
      <c r="E43" s="10" t="n">
        <f aca="false">D43+E42</f>
        <v>-2363.552421875</v>
      </c>
      <c r="F43" s="10" t="n">
        <f aca="false">E43+F42</f>
        <v>-3880.7038760875</v>
      </c>
      <c r="G43" s="10" t="n">
        <f aca="false">F43+G42</f>
        <v>-5120.79822282957</v>
      </c>
      <c r="H43" s="10" t="n">
        <f aca="false">G43+H42</f>
        <v>-6583.13377804034</v>
      </c>
      <c r="I43" s="10" t="n">
        <f aca="false">H43+I42</f>
        <v>-8267.06334608436</v>
      </c>
      <c r="J43" s="10" t="n">
        <f aca="false">I43+J42</f>
        <v>-9947.73675414067</v>
      </c>
      <c r="K43" s="10" t="n">
        <f aca="false">J43+K42</f>
        <v>-11624.0979026935</v>
      </c>
      <c r="L43" s="10" t="n">
        <f aca="false">K43+L42</f>
        <v>-13295.5683203335</v>
      </c>
      <c r="M43" s="10" t="n">
        <f aca="false">L43+M42</f>
        <v>-14961.6721023065</v>
      </c>
      <c r="N43" s="10" t="n">
        <f aca="false">M43+N42</f>
        <v>-16398.3730825932</v>
      </c>
      <c r="O43" s="10" t="n">
        <f aca="false">N43+O42</f>
        <v>-17830.6524188773</v>
      </c>
      <c r="P43" s="10" t="n">
        <f aca="false">O43+P42</f>
        <v>-19258.6333155895</v>
      </c>
      <c r="Q43" s="10" t="n">
        <f aca="false">P43+Q42</f>
        <v>-20457.7846293722</v>
      </c>
      <c r="R43" s="10" t="n">
        <f aca="false">Q43+R42</f>
        <v>-21653.3660436466</v>
      </c>
      <c r="S43" s="10" t="n">
        <f aca="false">R43+S42</f>
        <v>-22845.6058440071</v>
      </c>
      <c r="T43" s="10" t="n">
        <f aca="false">S43+T42</f>
        <v>-23810.153401728</v>
      </c>
      <c r="U43" s="10" t="n">
        <f aca="false">T43+U42</f>
        <v>-24772.6243819976</v>
      </c>
    </row>
    <row r="44" customFormat="false" ht="15" hidden="false" customHeight="false" outlineLevel="0" collapsed="false">
      <c r="A44" s="2" t="s">
        <v>261</v>
      </c>
      <c r="B44" s="2" t="s">
        <v>237</v>
      </c>
      <c r="D44" s="15" t="n">
        <f aca="false">IF(D43&gt;=0,1,0)</f>
        <v>0</v>
      </c>
      <c r="E44" s="15" t="n">
        <f aca="false">IF(E43&gt;=0,1,0)</f>
        <v>0</v>
      </c>
      <c r="F44" s="15" t="n">
        <f aca="false">IF(F43&gt;=0,1,0)</f>
        <v>0</v>
      </c>
      <c r="G44" s="15" t="n">
        <f aca="false">IF(G43&gt;=0,1,0)</f>
        <v>0</v>
      </c>
      <c r="H44" s="15" t="n">
        <f aca="false">IF(H43&gt;=0,1,0)</f>
        <v>0</v>
      </c>
      <c r="I44" s="15" t="n">
        <f aca="false">IF(I43&gt;=0,1,0)</f>
        <v>0</v>
      </c>
      <c r="J44" s="15" t="n">
        <f aca="false">IF(J43&gt;=0,1,0)</f>
        <v>0</v>
      </c>
      <c r="K44" s="15" t="n">
        <f aca="false">IF(K43&gt;=0,1,0)</f>
        <v>0</v>
      </c>
      <c r="L44" s="15" t="n">
        <f aca="false">IF(L43&gt;=0,1,0)</f>
        <v>0</v>
      </c>
      <c r="M44" s="15" t="n">
        <f aca="false">IF(M43&gt;=0,1,0)</f>
        <v>0</v>
      </c>
      <c r="N44" s="15" t="n">
        <f aca="false">IF(N43&gt;=0,1,0)</f>
        <v>0</v>
      </c>
      <c r="O44" s="15" t="n">
        <f aca="false">IF(O43&gt;=0,1,0)</f>
        <v>0</v>
      </c>
      <c r="P44" s="15" t="n">
        <f aca="false">IF(P43&gt;=0,1,0)</f>
        <v>0</v>
      </c>
      <c r="Q44" s="15" t="n">
        <f aca="false">IF(Q43&gt;=0,1,0)</f>
        <v>0</v>
      </c>
      <c r="R44" s="15" t="n">
        <f aca="false">IF(R43&gt;=0,1,0)</f>
        <v>0</v>
      </c>
      <c r="S44" s="15" t="n">
        <f aca="false">IF(S43&gt;=0,1,0)</f>
        <v>0</v>
      </c>
      <c r="T44" s="15" t="n">
        <f aca="false">IF(T43&gt;=0,1,0)</f>
        <v>0</v>
      </c>
      <c r="U44" s="15" t="n">
        <f aca="false">IF(U43&gt;=0,1,0)</f>
        <v>0</v>
      </c>
    </row>
    <row r="45" customFormat="false" ht="15" hidden="false" customHeight="false" outlineLevel="0" collapsed="false">
      <c r="A45" s="2" t="s">
        <v>262</v>
      </c>
      <c r="B45" s="2" t="s">
        <v>237</v>
      </c>
      <c r="D45" s="15" t="n">
        <f aca="false">IF(D42&gt;=0,1,0)</f>
        <v>0</v>
      </c>
      <c r="E45" s="15" t="n">
        <f aca="false">IF(E42&gt;=0,1,0)</f>
        <v>0</v>
      </c>
      <c r="F45" s="15" t="n">
        <f aca="false">IF(F42&gt;=0,1,0)</f>
        <v>0</v>
      </c>
      <c r="G45" s="15" t="n">
        <f aca="false">IF(G42&gt;=0,1,0)</f>
        <v>0</v>
      </c>
      <c r="H45" s="15" t="n">
        <f aca="false">IF(H42&gt;=0,1,0)</f>
        <v>0</v>
      </c>
      <c r="I45" s="15" t="n">
        <f aca="false">IF(I42&gt;=0,1,0)</f>
        <v>0</v>
      </c>
      <c r="J45" s="15" t="n">
        <f aca="false">IF(J42&gt;=0,1,0)</f>
        <v>0</v>
      </c>
      <c r="K45" s="15" t="n">
        <f aca="false">IF(K42&gt;=0,1,0)</f>
        <v>0</v>
      </c>
      <c r="L45" s="15" t="n">
        <f aca="false">IF(L42&gt;=0,1,0)</f>
        <v>0</v>
      </c>
      <c r="M45" s="15" t="n">
        <f aca="false">IF(M42&gt;=0,1,0)</f>
        <v>0</v>
      </c>
      <c r="N45" s="15" t="n">
        <f aca="false">IF(N42&gt;=0,1,0)</f>
        <v>0</v>
      </c>
      <c r="O45" s="15" t="n">
        <f aca="false">IF(O42&gt;=0,1,0)</f>
        <v>0</v>
      </c>
      <c r="P45" s="15" t="n">
        <f aca="false">IF(P42&gt;=0,1,0)</f>
        <v>0</v>
      </c>
      <c r="Q45" s="15" t="n">
        <f aca="false">IF(Q42&gt;=0,1,0)</f>
        <v>0</v>
      </c>
      <c r="R45" s="15" t="n">
        <f aca="false">IF(R42&gt;=0,1,0)</f>
        <v>0</v>
      </c>
      <c r="S45" s="15" t="n">
        <f aca="false">IF(S42&gt;=0,1,0)</f>
        <v>0</v>
      </c>
      <c r="T45" s="15" t="n">
        <f aca="false">IF(T42&gt;=0,1,0)</f>
        <v>0</v>
      </c>
      <c r="U45" s="15" t="n">
        <f aca="false">IF(U42&gt;=0,1,0)</f>
        <v>0</v>
      </c>
    </row>
    <row r="47" customFormat="false" ht="15" hidden="false" customHeight="false" outlineLevel="0" collapsed="false">
      <c r="A47" s="6" t="s">
        <v>263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customFormat="false" ht="15" hidden="false" customHeight="false" outlineLevel="0" collapsed="false">
      <c r="A48" s="5" t="s">
        <v>264</v>
      </c>
      <c r="B48" s="5" t="s">
        <v>265</v>
      </c>
      <c r="C48" s="5"/>
      <c r="D48" s="5" t="s">
        <v>195</v>
      </c>
      <c r="E48" s="5" t="s">
        <v>196</v>
      </c>
      <c r="F48" s="5" t="s">
        <v>197</v>
      </c>
      <c r="G48" s="5" t="s">
        <v>198</v>
      </c>
      <c r="H48" s="5" t="s">
        <v>199</v>
      </c>
      <c r="I48" s="5" t="s">
        <v>200</v>
      </c>
      <c r="J48" s="5" t="s">
        <v>201</v>
      </c>
      <c r="K48" s="5" t="s">
        <v>202</v>
      </c>
      <c r="L48" s="5" t="s">
        <v>203</v>
      </c>
      <c r="M48" s="5" t="s">
        <v>204</v>
      </c>
      <c r="N48" s="5" t="s">
        <v>205</v>
      </c>
      <c r="O48" s="5" t="s">
        <v>206</v>
      </c>
      <c r="P48" s="5" t="s">
        <v>207</v>
      </c>
      <c r="Q48" s="5" t="s">
        <v>208</v>
      </c>
      <c r="R48" s="5" t="s">
        <v>209</v>
      </c>
      <c r="S48" s="5" t="s">
        <v>210</v>
      </c>
      <c r="T48" s="5" t="s">
        <v>211</v>
      </c>
      <c r="U48" s="5" t="s">
        <v>212</v>
      </c>
    </row>
    <row r="49" customFormat="false" ht="15" hidden="false" customHeight="false" outlineLevel="0" collapsed="false">
      <c r="A49" s="2" t="s">
        <v>266</v>
      </c>
      <c r="B49" s="15" t="n">
        <v>1</v>
      </c>
      <c r="D49" s="27" t="n">
        <f aca="false">IF(D$4&lt;$B49,0,INDEX($D$10:$U$10,$B49)*(1-Assumptions!$D$18)^(D$4-$B49))</f>
        <v>3750</v>
      </c>
      <c r="E49" s="27" t="n">
        <f aca="false">IF(E$4&lt;$B49,0,INDEX($D$10:$U$10,$B49)*(1-Assumptions!$D$18)^(E$4-$B49))</f>
        <v>3450</v>
      </c>
      <c r="F49" s="27" t="n">
        <f aca="false">IF(F$4&lt;$B49,0,INDEX($D$10:$U$10,$B49)*(1-Assumptions!$D$18)^(F$4-$B49))</f>
        <v>3174</v>
      </c>
      <c r="G49" s="27" t="n">
        <f aca="false">IF(G$4&lt;$B49,0,INDEX($D$10:$U$10,$B49)*(1-Assumptions!$D$18)^(G$4-$B49))</f>
        <v>2920.08</v>
      </c>
      <c r="H49" s="27" t="n">
        <f aca="false">IF(H$4&lt;$B49,0,INDEX($D$10:$U$10,$B49)*(1-Assumptions!$D$18)^(H$4-$B49))</f>
        <v>2686.4736</v>
      </c>
      <c r="I49" s="27" t="n">
        <f aca="false">IF(I$4&lt;$B49,0,INDEX($D$10:$U$10,$B49)*(1-Assumptions!$D$18)^(I$4-$B49))</f>
        <v>2471.555712</v>
      </c>
      <c r="J49" s="27" t="n">
        <f aca="false">IF(J$4&lt;$B49,0,INDEX($D$10:$U$10,$B49)*(1-Assumptions!$D$18)^(J$4-$B49))</f>
        <v>2273.83125504</v>
      </c>
      <c r="K49" s="27" t="n">
        <f aca="false">IF(K$4&lt;$B49,0,INDEX($D$10:$U$10,$B49)*(1-Assumptions!$D$18)^(K$4-$B49))</f>
        <v>2091.9247546368</v>
      </c>
      <c r="L49" s="27" t="n">
        <f aca="false">IF(L$4&lt;$B49,0,INDEX($D$10:$U$10,$B49)*(1-Assumptions!$D$18)^(L$4-$B49))</f>
        <v>1924.57077426586</v>
      </c>
      <c r="M49" s="27" t="n">
        <f aca="false">IF(M$4&lt;$B49,0,INDEX($D$10:$U$10,$B49)*(1-Assumptions!$D$18)^(M$4-$B49))</f>
        <v>1770.60511232459</v>
      </c>
      <c r="N49" s="27" t="n">
        <f aca="false">IF(N$4&lt;$B49,0,INDEX($D$10:$U$10,$B49)*(1-Assumptions!$D$18)^(N$4-$B49))</f>
        <v>1628.95670333862</v>
      </c>
      <c r="O49" s="27" t="n">
        <f aca="false">IF(O$4&lt;$B49,0,INDEX($D$10:$U$10,$B49)*(1-Assumptions!$D$18)^(O$4-$B49))</f>
        <v>1498.64016707153</v>
      </c>
      <c r="P49" s="27" t="n">
        <f aca="false">IF(P$4&lt;$B49,0,INDEX($D$10:$U$10,$B49)*(1-Assumptions!$D$18)^(P$4-$B49))</f>
        <v>1378.74895370581</v>
      </c>
      <c r="Q49" s="27" t="n">
        <f aca="false">IF(Q$4&lt;$B49,0,INDEX($D$10:$U$10,$B49)*(1-Assumptions!$D$18)^(Q$4-$B49))</f>
        <v>1268.44903740934</v>
      </c>
      <c r="R49" s="27" t="n">
        <f aca="false">IF(R$4&lt;$B49,0,INDEX($D$10:$U$10,$B49)*(1-Assumptions!$D$18)^(R$4-$B49))</f>
        <v>1166.9731144166</v>
      </c>
      <c r="S49" s="27" t="n">
        <f aca="false">IF(S$4&lt;$B49,0,INDEX($D$10:$U$10,$B49)*(1-Assumptions!$D$18)^(S$4-$B49))</f>
        <v>1073.61526526327</v>
      </c>
      <c r="T49" s="27" t="n">
        <f aca="false">IF(T$4&lt;$B49,0,INDEX($D$10:$U$10,$B49)*(1-Assumptions!$D$18)^(T$4-$B49))</f>
        <v>987.726044042208</v>
      </c>
      <c r="U49" s="27" t="n">
        <f aca="false">IF(U$4&lt;$B49,0,INDEX($D$10:$U$10,$B49)*(1-Assumptions!$D$18)^(U$4-$B49))</f>
        <v>908.707960518831</v>
      </c>
    </row>
    <row r="50" customFormat="false" ht="15" hidden="false" customHeight="false" outlineLevel="0" collapsed="false">
      <c r="A50" s="2" t="s">
        <v>267</v>
      </c>
      <c r="B50" s="15" t="n">
        <v>2</v>
      </c>
      <c r="D50" s="27" t="n">
        <f aca="false">IF(D$4&lt;$B50,0,INDEX($D$10:$U$10,$B50)*(1-Assumptions!$D$18)^(D$4-$B50))</f>
        <v>0</v>
      </c>
      <c r="E50" s="27" t="n">
        <f aca="false">IF(E$4&lt;$B50,0,INDEX($D$10:$U$10,$B50)*(1-Assumptions!$D$18)^(E$4-$B50))</f>
        <v>5625</v>
      </c>
      <c r="F50" s="27" t="n">
        <f aca="false">IF(F$4&lt;$B50,0,INDEX($D$10:$U$10,$B50)*(1-Assumptions!$D$18)^(F$4-$B50))</f>
        <v>5175</v>
      </c>
      <c r="G50" s="27" t="n">
        <f aca="false">IF(G$4&lt;$B50,0,INDEX($D$10:$U$10,$B50)*(1-Assumptions!$D$18)^(G$4-$B50))</f>
        <v>4761</v>
      </c>
      <c r="H50" s="27" t="n">
        <f aca="false">IF(H$4&lt;$B50,0,INDEX($D$10:$U$10,$B50)*(1-Assumptions!$D$18)^(H$4-$B50))</f>
        <v>4380.12</v>
      </c>
      <c r="I50" s="27" t="n">
        <f aca="false">IF(I$4&lt;$B50,0,INDEX($D$10:$U$10,$B50)*(1-Assumptions!$D$18)^(I$4-$B50))</f>
        <v>4029.7104</v>
      </c>
      <c r="J50" s="27" t="n">
        <f aca="false">IF(J$4&lt;$B50,0,INDEX($D$10:$U$10,$B50)*(1-Assumptions!$D$18)^(J$4-$B50))</f>
        <v>3707.333568</v>
      </c>
      <c r="K50" s="27" t="n">
        <f aca="false">IF(K$4&lt;$B50,0,INDEX($D$10:$U$10,$B50)*(1-Assumptions!$D$18)^(K$4-$B50))</f>
        <v>3410.74688256</v>
      </c>
      <c r="L50" s="27" t="n">
        <f aca="false">IF(L$4&lt;$B50,0,INDEX($D$10:$U$10,$B50)*(1-Assumptions!$D$18)^(L$4-$B50))</f>
        <v>3137.8871319552</v>
      </c>
      <c r="M50" s="27" t="n">
        <f aca="false">IF(M$4&lt;$B50,0,INDEX($D$10:$U$10,$B50)*(1-Assumptions!$D$18)^(M$4-$B50))</f>
        <v>2886.85616139879</v>
      </c>
      <c r="N50" s="27" t="n">
        <f aca="false">IF(N$4&lt;$B50,0,INDEX($D$10:$U$10,$B50)*(1-Assumptions!$D$18)^(N$4-$B50))</f>
        <v>2655.90766848688</v>
      </c>
      <c r="O50" s="27" t="n">
        <f aca="false">IF(O$4&lt;$B50,0,INDEX($D$10:$U$10,$B50)*(1-Assumptions!$D$18)^(O$4-$B50))</f>
        <v>2443.43505500793</v>
      </c>
      <c r="P50" s="27" t="n">
        <f aca="false">IF(P$4&lt;$B50,0,INDEX($D$10:$U$10,$B50)*(1-Assumptions!$D$18)^(P$4-$B50))</f>
        <v>2247.9602506073</v>
      </c>
      <c r="Q50" s="27" t="n">
        <f aca="false">IF(Q$4&lt;$B50,0,INDEX($D$10:$U$10,$B50)*(1-Assumptions!$D$18)^(Q$4-$B50))</f>
        <v>2068.12343055871</v>
      </c>
      <c r="R50" s="27" t="n">
        <f aca="false">IF(R$4&lt;$B50,0,INDEX($D$10:$U$10,$B50)*(1-Assumptions!$D$18)^(R$4-$B50))</f>
        <v>1902.67355611402</v>
      </c>
      <c r="S50" s="27" t="n">
        <f aca="false">IF(S$4&lt;$B50,0,INDEX($D$10:$U$10,$B50)*(1-Assumptions!$D$18)^(S$4-$B50))</f>
        <v>1750.4596716249</v>
      </c>
      <c r="T50" s="27" t="n">
        <f aca="false">IF(T$4&lt;$B50,0,INDEX($D$10:$U$10,$B50)*(1-Assumptions!$D$18)^(T$4-$B50))</f>
        <v>1610.4228978949</v>
      </c>
      <c r="U50" s="27" t="n">
        <f aca="false">IF(U$4&lt;$B50,0,INDEX($D$10:$U$10,$B50)*(1-Assumptions!$D$18)^(U$4-$B50))</f>
        <v>1481.58906606331</v>
      </c>
    </row>
    <row r="51" customFormat="false" ht="15" hidden="false" customHeight="false" outlineLevel="0" collapsed="false">
      <c r="A51" s="2" t="s">
        <v>268</v>
      </c>
      <c r="B51" s="15" t="n">
        <v>3</v>
      </c>
      <c r="D51" s="27" t="n">
        <f aca="false">IF(D$4&lt;$B51,0,INDEX($D$10:$U$10,$B51)*(1-Assumptions!$D$18)^(D$4-$B51))</f>
        <v>0</v>
      </c>
      <c r="E51" s="27" t="n">
        <f aca="false">IF(E$4&lt;$B51,0,INDEX($D$10:$U$10,$B51)*(1-Assumptions!$D$18)^(E$4-$B51))</f>
        <v>0</v>
      </c>
      <c r="F51" s="27" t="n">
        <f aca="false">IF(F$4&lt;$B51,0,INDEX($D$10:$U$10,$B51)*(1-Assumptions!$D$18)^(F$4-$B51))</f>
        <v>7500</v>
      </c>
      <c r="G51" s="27" t="n">
        <f aca="false">IF(G$4&lt;$B51,0,INDEX($D$10:$U$10,$B51)*(1-Assumptions!$D$18)^(G$4-$B51))</f>
        <v>6900</v>
      </c>
      <c r="H51" s="27" t="n">
        <f aca="false">IF(H$4&lt;$B51,0,INDEX($D$10:$U$10,$B51)*(1-Assumptions!$D$18)^(H$4-$B51))</f>
        <v>6348</v>
      </c>
      <c r="I51" s="27" t="n">
        <f aca="false">IF(I$4&lt;$B51,0,INDEX($D$10:$U$10,$B51)*(1-Assumptions!$D$18)^(I$4-$B51))</f>
        <v>5840.16</v>
      </c>
      <c r="J51" s="27" t="n">
        <f aca="false">IF(J$4&lt;$B51,0,INDEX($D$10:$U$10,$B51)*(1-Assumptions!$D$18)^(J$4-$B51))</f>
        <v>5372.9472</v>
      </c>
      <c r="K51" s="27" t="n">
        <f aca="false">IF(K$4&lt;$B51,0,INDEX($D$10:$U$10,$B51)*(1-Assumptions!$D$18)^(K$4-$B51))</f>
        <v>4943.111424</v>
      </c>
      <c r="L51" s="27" t="n">
        <f aca="false">IF(L$4&lt;$B51,0,INDEX($D$10:$U$10,$B51)*(1-Assumptions!$D$18)^(L$4-$B51))</f>
        <v>4547.66251008</v>
      </c>
      <c r="M51" s="27" t="n">
        <f aca="false">IF(M$4&lt;$B51,0,INDEX($D$10:$U$10,$B51)*(1-Assumptions!$D$18)^(M$4-$B51))</f>
        <v>4183.8495092736</v>
      </c>
      <c r="N51" s="27" t="n">
        <f aca="false">IF(N$4&lt;$B51,0,INDEX($D$10:$U$10,$B51)*(1-Assumptions!$D$18)^(N$4-$B51))</f>
        <v>3849.14154853171</v>
      </c>
      <c r="O51" s="27" t="n">
        <f aca="false">IF(O$4&lt;$B51,0,INDEX($D$10:$U$10,$B51)*(1-Assumptions!$D$18)^(O$4-$B51))</f>
        <v>3541.21022464918</v>
      </c>
      <c r="P51" s="27" t="n">
        <f aca="false">IF(P$4&lt;$B51,0,INDEX($D$10:$U$10,$B51)*(1-Assumptions!$D$18)^(P$4-$B51))</f>
        <v>3257.91340667724</v>
      </c>
      <c r="Q51" s="27" t="n">
        <f aca="false">IF(Q$4&lt;$B51,0,INDEX($D$10:$U$10,$B51)*(1-Assumptions!$D$18)^(Q$4-$B51))</f>
        <v>2997.28033414306</v>
      </c>
      <c r="R51" s="27" t="n">
        <f aca="false">IF(R$4&lt;$B51,0,INDEX($D$10:$U$10,$B51)*(1-Assumptions!$D$18)^(R$4-$B51))</f>
        <v>2757.49790741162</v>
      </c>
      <c r="S51" s="27" t="n">
        <f aca="false">IF(S$4&lt;$B51,0,INDEX($D$10:$U$10,$B51)*(1-Assumptions!$D$18)^(S$4-$B51))</f>
        <v>2536.89807481869</v>
      </c>
      <c r="T51" s="27" t="n">
        <f aca="false">IF(T$4&lt;$B51,0,INDEX($D$10:$U$10,$B51)*(1-Assumptions!$D$18)^(T$4-$B51))</f>
        <v>2333.94622883319</v>
      </c>
      <c r="U51" s="27" t="n">
        <f aca="false">IF(U$4&lt;$B51,0,INDEX($D$10:$U$10,$B51)*(1-Assumptions!$D$18)^(U$4-$B51))</f>
        <v>2147.23053052654</v>
      </c>
    </row>
    <row r="52" customFormat="false" ht="15" hidden="false" customHeight="false" outlineLevel="0" collapsed="false">
      <c r="A52" s="2" t="s">
        <v>269</v>
      </c>
      <c r="B52" s="15" t="n">
        <v>4</v>
      </c>
      <c r="D52" s="27" t="n">
        <f aca="false">IF(D$4&lt;$B52,0,INDEX($D$10:$U$10,$B52)*(1-Assumptions!$D$18)^(D$4-$B52))</f>
        <v>0</v>
      </c>
      <c r="E52" s="27" t="n">
        <f aca="false">IF(E$4&lt;$B52,0,INDEX($D$10:$U$10,$B52)*(1-Assumptions!$D$18)^(E$4-$B52))</f>
        <v>0</v>
      </c>
      <c r="F52" s="27" t="n">
        <f aca="false">IF(F$4&lt;$B52,0,INDEX($D$10:$U$10,$B52)*(1-Assumptions!$D$18)^(F$4-$B52))</f>
        <v>0</v>
      </c>
      <c r="G52" s="27" t="n">
        <f aca="false">IF(G$4&lt;$B52,0,INDEX($D$10:$U$10,$B52)*(1-Assumptions!$D$18)^(G$4-$B52))</f>
        <v>9375</v>
      </c>
      <c r="H52" s="27" t="n">
        <f aca="false">IF(H$4&lt;$B52,0,INDEX($D$10:$U$10,$B52)*(1-Assumptions!$D$18)^(H$4-$B52))</f>
        <v>8625</v>
      </c>
      <c r="I52" s="27" t="n">
        <f aca="false">IF(I$4&lt;$B52,0,INDEX($D$10:$U$10,$B52)*(1-Assumptions!$D$18)^(I$4-$B52))</f>
        <v>7935</v>
      </c>
      <c r="J52" s="27" t="n">
        <f aca="false">IF(J$4&lt;$B52,0,INDEX($D$10:$U$10,$B52)*(1-Assumptions!$D$18)^(J$4-$B52))</f>
        <v>7300.2</v>
      </c>
      <c r="K52" s="27" t="n">
        <f aca="false">IF(K$4&lt;$B52,0,INDEX($D$10:$U$10,$B52)*(1-Assumptions!$D$18)^(K$4-$B52))</f>
        <v>6716.184</v>
      </c>
      <c r="L52" s="27" t="n">
        <f aca="false">IF(L$4&lt;$B52,0,INDEX($D$10:$U$10,$B52)*(1-Assumptions!$D$18)^(L$4-$B52))</f>
        <v>6178.88928</v>
      </c>
      <c r="M52" s="27" t="n">
        <f aca="false">IF(M$4&lt;$B52,0,INDEX($D$10:$U$10,$B52)*(1-Assumptions!$D$18)^(M$4-$B52))</f>
        <v>5684.5781376</v>
      </c>
      <c r="N52" s="27" t="n">
        <f aca="false">IF(N$4&lt;$B52,0,INDEX($D$10:$U$10,$B52)*(1-Assumptions!$D$18)^(N$4-$B52))</f>
        <v>5229.811886592</v>
      </c>
      <c r="O52" s="27" t="n">
        <f aca="false">IF(O$4&lt;$B52,0,INDEX($D$10:$U$10,$B52)*(1-Assumptions!$D$18)^(O$4-$B52))</f>
        <v>4811.42693566464</v>
      </c>
      <c r="P52" s="27" t="n">
        <f aca="false">IF(P$4&lt;$B52,0,INDEX($D$10:$U$10,$B52)*(1-Assumptions!$D$18)^(P$4-$B52))</f>
        <v>4426.51278081147</v>
      </c>
      <c r="Q52" s="27" t="n">
        <f aca="false">IF(Q$4&lt;$B52,0,INDEX($D$10:$U$10,$B52)*(1-Assumptions!$D$18)^(Q$4-$B52))</f>
        <v>4072.39175834655</v>
      </c>
      <c r="R52" s="27" t="n">
        <f aca="false">IF(R$4&lt;$B52,0,INDEX($D$10:$U$10,$B52)*(1-Assumptions!$D$18)^(R$4-$B52))</f>
        <v>3746.60041767883</v>
      </c>
      <c r="S52" s="27" t="n">
        <f aca="false">IF(S$4&lt;$B52,0,INDEX($D$10:$U$10,$B52)*(1-Assumptions!$D$18)^(S$4-$B52))</f>
        <v>3446.87238426452</v>
      </c>
      <c r="T52" s="27" t="n">
        <f aca="false">IF(T$4&lt;$B52,0,INDEX($D$10:$U$10,$B52)*(1-Assumptions!$D$18)^(T$4-$B52))</f>
        <v>3171.12259352336</v>
      </c>
      <c r="U52" s="27" t="n">
        <f aca="false">IF(U$4&lt;$B52,0,INDEX($D$10:$U$10,$B52)*(1-Assumptions!$D$18)^(U$4-$B52))</f>
        <v>2917.43278604149</v>
      </c>
    </row>
    <row r="53" customFormat="false" ht="15" hidden="false" customHeight="false" outlineLevel="0" collapsed="false">
      <c r="A53" s="2" t="s">
        <v>270</v>
      </c>
      <c r="B53" s="15" t="n">
        <v>5</v>
      </c>
      <c r="D53" s="27" t="n">
        <f aca="false">IF(D$4&lt;$B53,0,INDEX($D$10:$U$10,$B53)*(1-Assumptions!$D$18)^(D$4-$B53))</f>
        <v>0</v>
      </c>
      <c r="E53" s="27" t="n">
        <f aca="false">IF(E$4&lt;$B53,0,INDEX($D$10:$U$10,$B53)*(1-Assumptions!$D$18)^(E$4-$B53))</f>
        <v>0</v>
      </c>
      <c r="F53" s="27" t="n">
        <f aca="false">IF(F$4&lt;$B53,0,INDEX($D$10:$U$10,$B53)*(1-Assumptions!$D$18)^(F$4-$B53))</f>
        <v>0</v>
      </c>
      <c r="G53" s="27" t="n">
        <f aca="false">IF(G$4&lt;$B53,0,INDEX($D$10:$U$10,$B53)*(1-Assumptions!$D$18)^(G$4-$B53))</f>
        <v>0</v>
      </c>
      <c r="H53" s="27" t="n">
        <f aca="false">IF(H$4&lt;$B53,0,INDEX($D$10:$U$10,$B53)*(1-Assumptions!$D$18)^(H$4-$B53))</f>
        <v>11250</v>
      </c>
      <c r="I53" s="27" t="n">
        <f aca="false">IF(I$4&lt;$B53,0,INDEX($D$10:$U$10,$B53)*(1-Assumptions!$D$18)^(I$4-$B53))</f>
        <v>10350</v>
      </c>
      <c r="J53" s="27" t="n">
        <f aca="false">IF(J$4&lt;$B53,0,INDEX($D$10:$U$10,$B53)*(1-Assumptions!$D$18)^(J$4-$B53))</f>
        <v>9522</v>
      </c>
      <c r="K53" s="27" t="n">
        <f aca="false">IF(K$4&lt;$B53,0,INDEX($D$10:$U$10,$B53)*(1-Assumptions!$D$18)^(K$4-$B53))</f>
        <v>8760.24</v>
      </c>
      <c r="L53" s="27" t="n">
        <f aca="false">IF(L$4&lt;$B53,0,INDEX($D$10:$U$10,$B53)*(1-Assumptions!$D$18)^(L$4-$B53))</f>
        <v>8059.4208</v>
      </c>
      <c r="M53" s="27" t="n">
        <f aca="false">IF(M$4&lt;$B53,0,INDEX($D$10:$U$10,$B53)*(1-Assumptions!$D$18)^(M$4-$B53))</f>
        <v>7414.667136</v>
      </c>
      <c r="N53" s="27" t="n">
        <f aca="false">IF(N$4&lt;$B53,0,INDEX($D$10:$U$10,$B53)*(1-Assumptions!$D$18)^(N$4-$B53))</f>
        <v>6821.49376512</v>
      </c>
      <c r="O53" s="27" t="n">
        <f aca="false">IF(O$4&lt;$B53,0,INDEX($D$10:$U$10,$B53)*(1-Assumptions!$D$18)^(O$4-$B53))</f>
        <v>6275.7742639104</v>
      </c>
      <c r="P53" s="27" t="n">
        <f aca="false">IF(P$4&lt;$B53,0,INDEX($D$10:$U$10,$B53)*(1-Assumptions!$D$18)^(P$4-$B53))</f>
        <v>5773.71232279757</v>
      </c>
      <c r="Q53" s="27" t="n">
        <f aca="false">IF(Q$4&lt;$B53,0,INDEX($D$10:$U$10,$B53)*(1-Assumptions!$D$18)^(Q$4-$B53))</f>
        <v>5311.81533697377</v>
      </c>
      <c r="R53" s="27" t="n">
        <f aca="false">IF(R$4&lt;$B53,0,INDEX($D$10:$U$10,$B53)*(1-Assumptions!$D$18)^(R$4-$B53))</f>
        <v>4886.87011001586</v>
      </c>
      <c r="S53" s="27" t="n">
        <f aca="false">IF(S$4&lt;$B53,0,INDEX($D$10:$U$10,$B53)*(1-Assumptions!$D$18)^(S$4-$B53))</f>
        <v>4495.9205012146</v>
      </c>
      <c r="T53" s="27" t="n">
        <f aca="false">IF(T$4&lt;$B53,0,INDEX($D$10:$U$10,$B53)*(1-Assumptions!$D$18)^(T$4-$B53))</f>
        <v>4136.24686111743</v>
      </c>
      <c r="U53" s="27" t="n">
        <f aca="false">IF(U$4&lt;$B53,0,INDEX($D$10:$U$10,$B53)*(1-Assumptions!$D$18)^(U$4-$B53))</f>
        <v>3805.34711222803</v>
      </c>
    </row>
    <row r="54" customFormat="false" ht="15" hidden="false" customHeight="false" outlineLevel="0" collapsed="false">
      <c r="A54" s="2" t="s">
        <v>271</v>
      </c>
      <c r="B54" s="15" t="n">
        <v>6</v>
      </c>
      <c r="D54" s="27" t="n">
        <f aca="false">IF(D$4&lt;$B54,0,INDEX($D$10:$U$10,$B54)*(1-Assumptions!$D$18)^(D$4-$B54))</f>
        <v>0</v>
      </c>
      <c r="E54" s="27" t="n">
        <f aca="false">IF(E$4&lt;$B54,0,INDEX($D$10:$U$10,$B54)*(1-Assumptions!$D$18)^(E$4-$B54))</f>
        <v>0</v>
      </c>
      <c r="F54" s="27" t="n">
        <f aca="false">IF(F$4&lt;$B54,0,INDEX($D$10:$U$10,$B54)*(1-Assumptions!$D$18)^(F$4-$B54))</f>
        <v>0</v>
      </c>
      <c r="G54" s="27" t="n">
        <f aca="false">IF(G$4&lt;$B54,0,INDEX($D$10:$U$10,$B54)*(1-Assumptions!$D$18)^(G$4-$B54))</f>
        <v>0</v>
      </c>
      <c r="H54" s="27" t="n">
        <f aca="false">IF(H$4&lt;$B54,0,INDEX($D$10:$U$10,$B54)*(1-Assumptions!$D$18)^(H$4-$B54))</f>
        <v>0</v>
      </c>
      <c r="I54" s="27" t="n">
        <f aca="false">IF(I$4&lt;$B54,0,INDEX($D$10:$U$10,$B54)*(1-Assumptions!$D$18)^(I$4-$B54))</f>
        <v>13125</v>
      </c>
      <c r="J54" s="27" t="n">
        <f aca="false">IF(J$4&lt;$B54,0,INDEX($D$10:$U$10,$B54)*(1-Assumptions!$D$18)^(J$4-$B54))</f>
        <v>12075</v>
      </c>
      <c r="K54" s="27" t="n">
        <f aca="false">IF(K$4&lt;$B54,0,INDEX($D$10:$U$10,$B54)*(1-Assumptions!$D$18)^(K$4-$B54))</f>
        <v>11109</v>
      </c>
      <c r="L54" s="27" t="n">
        <f aca="false">IF(L$4&lt;$B54,0,INDEX($D$10:$U$10,$B54)*(1-Assumptions!$D$18)^(L$4-$B54))</f>
        <v>10220.28</v>
      </c>
      <c r="M54" s="27" t="n">
        <f aca="false">IF(M$4&lt;$B54,0,INDEX($D$10:$U$10,$B54)*(1-Assumptions!$D$18)^(M$4-$B54))</f>
        <v>9402.6576</v>
      </c>
      <c r="N54" s="27" t="n">
        <f aca="false">IF(N$4&lt;$B54,0,INDEX($D$10:$U$10,$B54)*(1-Assumptions!$D$18)^(N$4-$B54))</f>
        <v>8650.444992</v>
      </c>
      <c r="O54" s="27" t="n">
        <f aca="false">IF(O$4&lt;$B54,0,INDEX($D$10:$U$10,$B54)*(1-Assumptions!$D$18)^(O$4-$B54))</f>
        <v>7958.40939264</v>
      </c>
      <c r="P54" s="27" t="n">
        <f aca="false">IF(P$4&lt;$B54,0,INDEX($D$10:$U$10,$B54)*(1-Assumptions!$D$18)^(P$4-$B54))</f>
        <v>7321.7366412288</v>
      </c>
      <c r="Q54" s="27" t="n">
        <f aca="false">IF(Q$4&lt;$B54,0,INDEX($D$10:$U$10,$B54)*(1-Assumptions!$D$18)^(Q$4-$B54))</f>
        <v>6735.9977099305</v>
      </c>
      <c r="R54" s="27" t="n">
        <f aca="false">IF(R$4&lt;$B54,0,INDEX($D$10:$U$10,$B54)*(1-Assumptions!$D$18)^(R$4-$B54))</f>
        <v>6197.11789313606</v>
      </c>
      <c r="S54" s="27" t="n">
        <f aca="false">IF(S$4&lt;$B54,0,INDEX($D$10:$U$10,$B54)*(1-Assumptions!$D$18)^(S$4-$B54))</f>
        <v>5701.34846168517</v>
      </c>
      <c r="T54" s="27" t="n">
        <f aca="false">IF(T$4&lt;$B54,0,INDEX($D$10:$U$10,$B54)*(1-Assumptions!$D$18)^(T$4-$B54))</f>
        <v>5245.24058475036</v>
      </c>
      <c r="U54" s="27" t="n">
        <f aca="false">IF(U$4&lt;$B54,0,INDEX($D$10:$U$10,$B54)*(1-Assumptions!$D$18)^(U$4-$B54))</f>
        <v>4825.62133797033</v>
      </c>
    </row>
    <row r="55" customFormat="false" ht="15" hidden="false" customHeight="false" outlineLevel="0" collapsed="false">
      <c r="A55" s="2" t="s">
        <v>272</v>
      </c>
      <c r="B55" s="15" t="n">
        <v>7</v>
      </c>
      <c r="D55" s="27" t="n">
        <f aca="false">IF(D$4&lt;$B55,0,INDEX($D$10:$U$10,$B55)*(1-Assumptions!$D$18)^(D$4-$B55))</f>
        <v>0</v>
      </c>
      <c r="E55" s="27" t="n">
        <f aca="false">IF(E$4&lt;$B55,0,INDEX($D$10:$U$10,$B55)*(1-Assumptions!$D$18)^(E$4-$B55))</f>
        <v>0</v>
      </c>
      <c r="F55" s="27" t="n">
        <f aca="false">IF(F$4&lt;$B55,0,INDEX($D$10:$U$10,$B55)*(1-Assumptions!$D$18)^(F$4-$B55))</f>
        <v>0</v>
      </c>
      <c r="G55" s="27" t="n">
        <f aca="false">IF(G$4&lt;$B55,0,INDEX($D$10:$U$10,$B55)*(1-Assumptions!$D$18)^(G$4-$B55))</f>
        <v>0</v>
      </c>
      <c r="H55" s="27" t="n">
        <f aca="false">IF(H$4&lt;$B55,0,INDEX($D$10:$U$10,$B55)*(1-Assumptions!$D$18)^(H$4-$B55))</f>
        <v>0</v>
      </c>
      <c r="I55" s="27" t="n">
        <f aca="false">IF(I$4&lt;$B55,0,INDEX($D$10:$U$10,$B55)*(1-Assumptions!$D$18)^(I$4-$B55))</f>
        <v>0</v>
      </c>
      <c r="J55" s="27" t="n">
        <f aca="false">IF(J$4&lt;$B55,0,INDEX($D$10:$U$10,$B55)*(1-Assumptions!$D$18)^(J$4-$B55))</f>
        <v>13125</v>
      </c>
      <c r="K55" s="27" t="n">
        <f aca="false">IF(K$4&lt;$B55,0,INDEX($D$10:$U$10,$B55)*(1-Assumptions!$D$18)^(K$4-$B55))</f>
        <v>12075</v>
      </c>
      <c r="L55" s="27" t="n">
        <f aca="false">IF(L$4&lt;$B55,0,INDEX($D$10:$U$10,$B55)*(1-Assumptions!$D$18)^(L$4-$B55))</f>
        <v>11109</v>
      </c>
      <c r="M55" s="27" t="n">
        <f aca="false">IF(M$4&lt;$B55,0,INDEX($D$10:$U$10,$B55)*(1-Assumptions!$D$18)^(M$4-$B55))</f>
        <v>10220.28</v>
      </c>
      <c r="N55" s="27" t="n">
        <f aca="false">IF(N$4&lt;$B55,0,INDEX($D$10:$U$10,$B55)*(1-Assumptions!$D$18)^(N$4-$B55))</f>
        <v>9402.6576</v>
      </c>
      <c r="O55" s="27" t="n">
        <f aca="false">IF(O$4&lt;$B55,0,INDEX($D$10:$U$10,$B55)*(1-Assumptions!$D$18)^(O$4-$B55))</f>
        <v>8650.444992</v>
      </c>
      <c r="P55" s="27" t="n">
        <f aca="false">IF(P$4&lt;$B55,0,INDEX($D$10:$U$10,$B55)*(1-Assumptions!$D$18)^(P$4-$B55))</f>
        <v>7958.40939264</v>
      </c>
      <c r="Q55" s="27" t="n">
        <f aca="false">IF(Q$4&lt;$B55,0,INDEX($D$10:$U$10,$B55)*(1-Assumptions!$D$18)^(Q$4-$B55))</f>
        <v>7321.7366412288</v>
      </c>
      <c r="R55" s="27" t="n">
        <f aca="false">IF(R$4&lt;$B55,0,INDEX($D$10:$U$10,$B55)*(1-Assumptions!$D$18)^(R$4-$B55))</f>
        <v>6735.9977099305</v>
      </c>
      <c r="S55" s="27" t="n">
        <f aca="false">IF(S$4&lt;$B55,0,INDEX($D$10:$U$10,$B55)*(1-Assumptions!$D$18)^(S$4-$B55))</f>
        <v>6197.11789313606</v>
      </c>
      <c r="T55" s="27" t="n">
        <f aca="false">IF(T$4&lt;$B55,0,INDEX($D$10:$U$10,$B55)*(1-Assumptions!$D$18)^(T$4-$B55))</f>
        <v>5701.34846168517</v>
      </c>
      <c r="U55" s="27" t="n">
        <f aca="false">IF(U$4&lt;$B55,0,INDEX($D$10:$U$10,$B55)*(1-Assumptions!$D$18)^(U$4-$B55))</f>
        <v>5245.24058475036</v>
      </c>
    </row>
    <row r="56" customFormat="false" ht="15" hidden="false" customHeight="false" outlineLevel="0" collapsed="false">
      <c r="A56" s="2" t="s">
        <v>273</v>
      </c>
      <c r="B56" s="15" t="n">
        <v>8</v>
      </c>
      <c r="D56" s="27" t="n">
        <f aca="false">IF(D$4&lt;$B56,0,INDEX($D$10:$U$10,$B56)*(1-Assumptions!$D$18)^(D$4-$B56))</f>
        <v>0</v>
      </c>
      <c r="E56" s="27" t="n">
        <f aca="false">IF(E$4&lt;$B56,0,INDEX($D$10:$U$10,$B56)*(1-Assumptions!$D$18)^(E$4-$B56))</f>
        <v>0</v>
      </c>
      <c r="F56" s="27" t="n">
        <f aca="false">IF(F$4&lt;$B56,0,INDEX($D$10:$U$10,$B56)*(1-Assumptions!$D$18)^(F$4-$B56))</f>
        <v>0</v>
      </c>
      <c r="G56" s="27" t="n">
        <f aca="false">IF(G$4&lt;$B56,0,INDEX($D$10:$U$10,$B56)*(1-Assumptions!$D$18)^(G$4-$B56))</f>
        <v>0</v>
      </c>
      <c r="H56" s="27" t="n">
        <f aca="false">IF(H$4&lt;$B56,0,INDEX($D$10:$U$10,$B56)*(1-Assumptions!$D$18)^(H$4-$B56))</f>
        <v>0</v>
      </c>
      <c r="I56" s="27" t="n">
        <f aca="false">IF(I$4&lt;$B56,0,INDEX($D$10:$U$10,$B56)*(1-Assumptions!$D$18)^(I$4-$B56))</f>
        <v>0</v>
      </c>
      <c r="J56" s="27" t="n">
        <f aca="false">IF(J$4&lt;$B56,0,INDEX($D$10:$U$10,$B56)*(1-Assumptions!$D$18)^(J$4-$B56))</f>
        <v>0</v>
      </c>
      <c r="K56" s="27" t="n">
        <f aca="false">IF(K$4&lt;$B56,0,INDEX($D$10:$U$10,$B56)*(1-Assumptions!$D$18)^(K$4-$B56))</f>
        <v>13125</v>
      </c>
      <c r="L56" s="27" t="n">
        <f aca="false">IF(L$4&lt;$B56,0,INDEX($D$10:$U$10,$B56)*(1-Assumptions!$D$18)^(L$4-$B56))</f>
        <v>12075</v>
      </c>
      <c r="M56" s="27" t="n">
        <f aca="false">IF(M$4&lt;$B56,0,INDEX($D$10:$U$10,$B56)*(1-Assumptions!$D$18)^(M$4-$B56))</f>
        <v>11109</v>
      </c>
      <c r="N56" s="27" t="n">
        <f aca="false">IF(N$4&lt;$B56,0,INDEX($D$10:$U$10,$B56)*(1-Assumptions!$D$18)^(N$4-$B56))</f>
        <v>10220.28</v>
      </c>
      <c r="O56" s="27" t="n">
        <f aca="false">IF(O$4&lt;$B56,0,INDEX($D$10:$U$10,$B56)*(1-Assumptions!$D$18)^(O$4-$B56))</f>
        <v>9402.6576</v>
      </c>
      <c r="P56" s="27" t="n">
        <f aca="false">IF(P$4&lt;$B56,0,INDEX($D$10:$U$10,$B56)*(1-Assumptions!$D$18)^(P$4-$B56))</f>
        <v>8650.444992</v>
      </c>
      <c r="Q56" s="27" t="n">
        <f aca="false">IF(Q$4&lt;$B56,0,INDEX($D$10:$U$10,$B56)*(1-Assumptions!$D$18)^(Q$4-$B56))</f>
        <v>7958.40939264</v>
      </c>
      <c r="R56" s="27" t="n">
        <f aca="false">IF(R$4&lt;$B56,0,INDEX($D$10:$U$10,$B56)*(1-Assumptions!$D$18)^(R$4-$B56))</f>
        <v>7321.7366412288</v>
      </c>
      <c r="S56" s="27" t="n">
        <f aca="false">IF(S$4&lt;$B56,0,INDEX($D$10:$U$10,$B56)*(1-Assumptions!$D$18)^(S$4-$B56))</f>
        <v>6735.9977099305</v>
      </c>
      <c r="T56" s="27" t="n">
        <f aca="false">IF(T$4&lt;$B56,0,INDEX($D$10:$U$10,$B56)*(1-Assumptions!$D$18)^(T$4-$B56))</f>
        <v>6197.11789313606</v>
      </c>
      <c r="U56" s="27" t="n">
        <f aca="false">IF(U$4&lt;$B56,0,INDEX($D$10:$U$10,$B56)*(1-Assumptions!$D$18)^(U$4-$B56))</f>
        <v>5701.34846168517</v>
      </c>
    </row>
    <row r="57" customFormat="false" ht="15" hidden="false" customHeight="false" outlineLevel="0" collapsed="false">
      <c r="A57" s="2" t="s">
        <v>274</v>
      </c>
      <c r="B57" s="15" t="n">
        <v>9</v>
      </c>
      <c r="D57" s="27" t="n">
        <f aca="false">IF(D$4&lt;$B57,0,INDEX($D$10:$U$10,$B57)*(1-Assumptions!$D$18)^(D$4-$B57))</f>
        <v>0</v>
      </c>
      <c r="E57" s="27" t="n">
        <f aca="false">IF(E$4&lt;$B57,0,INDEX($D$10:$U$10,$B57)*(1-Assumptions!$D$18)^(E$4-$B57))</f>
        <v>0</v>
      </c>
      <c r="F57" s="27" t="n">
        <f aca="false">IF(F$4&lt;$B57,0,INDEX($D$10:$U$10,$B57)*(1-Assumptions!$D$18)^(F$4-$B57))</f>
        <v>0</v>
      </c>
      <c r="G57" s="27" t="n">
        <f aca="false">IF(G$4&lt;$B57,0,INDEX($D$10:$U$10,$B57)*(1-Assumptions!$D$18)^(G$4-$B57))</f>
        <v>0</v>
      </c>
      <c r="H57" s="27" t="n">
        <f aca="false">IF(H$4&lt;$B57,0,INDEX($D$10:$U$10,$B57)*(1-Assumptions!$D$18)^(H$4-$B57))</f>
        <v>0</v>
      </c>
      <c r="I57" s="27" t="n">
        <f aca="false">IF(I$4&lt;$B57,0,INDEX($D$10:$U$10,$B57)*(1-Assumptions!$D$18)^(I$4-$B57))</f>
        <v>0</v>
      </c>
      <c r="J57" s="27" t="n">
        <f aca="false">IF(J$4&lt;$B57,0,INDEX($D$10:$U$10,$B57)*(1-Assumptions!$D$18)^(J$4-$B57))</f>
        <v>0</v>
      </c>
      <c r="K57" s="27" t="n">
        <f aca="false">IF(K$4&lt;$B57,0,INDEX($D$10:$U$10,$B57)*(1-Assumptions!$D$18)^(K$4-$B57))</f>
        <v>0</v>
      </c>
      <c r="L57" s="27" t="n">
        <f aca="false">IF(L$4&lt;$B57,0,INDEX($D$10:$U$10,$B57)*(1-Assumptions!$D$18)^(L$4-$B57))</f>
        <v>13125</v>
      </c>
      <c r="M57" s="27" t="n">
        <f aca="false">IF(M$4&lt;$B57,0,INDEX($D$10:$U$10,$B57)*(1-Assumptions!$D$18)^(M$4-$B57))</f>
        <v>12075</v>
      </c>
      <c r="N57" s="27" t="n">
        <f aca="false">IF(N$4&lt;$B57,0,INDEX($D$10:$U$10,$B57)*(1-Assumptions!$D$18)^(N$4-$B57))</f>
        <v>11109</v>
      </c>
      <c r="O57" s="27" t="n">
        <f aca="false">IF(O$4&lt;$B57,0,INDEX($D$10:$U$10,$B57)*(1-Assumptions!$D$18)^(O$4-$B57))</f>
        <v>10220.28</v>
      </c>
      <c r="P57" s="27" t="n">
        <f aca="false">IF(P$4&lt;$B57,0,INDEX($D$10:$U$10,$B57)*(1-Assumptions!$D$18)^(P$4-$B57))</f>
        <v>9402.6576</v>
      </c>
      <c r="Q57" s="27" t="n">
        <f aca="false">IF(Q$4&lt;$B57,0,INDEX($D$10:$U$10,$B57)*(1-Assumptions!$D$18)^(Q$4-$B57))</f>
        <v>8650.444992</v>
      </c>
      <c r="R57" s="27" t="n">
        <f aca="false">IF(R$4&lt;$B57,0,INDEX($D$10:$U$10,$B57)*(1-Assumptions!$D$18)^(R$4-$B57))</f>
        <v>7958.40939264</v>
      </c>
      <c r="S57" s="27" t="n">
        <f aca="false">IF(S$4&lt;$B57,0,INDEX($D$10:$U$10,$B57)*(1-Assumptions!$D$18)^(S$4-$B57))</f>
        <v>7321.7366412288</v>
      </c>
      <c r="T57" s="27" t="n">
        <f aca="false">IF(T$4&lt;$B57,0,INDEX($D$10:$U$10,$B57)*(1-Assumptions!$D$18)^(T$4-$B57))</f>
        <v>6735.9977099305</v>
      </c>
      <c r="U57" s="27" t="n">
        <f aca="false">IF(U$4&lt;$B57,0,INDEX($D$10:$U$10,$B57)*(1-Assumptions!$D$18)^(U$4-$B57))</f>
        <v>6197.11789313606</v>
      </c>
    </row>
    <row r="58" customFormat="false" ht="15" hidden="false" customHeight="false" outlineLevel="0" collapsed="false">
      <c r="A58" s="2" t="s">
        <v>275</v>
      </c>
      <c r="B58" s="15" t="n">
        <v>10</v>
      </c>
      <c r="D58" s="27" t="n">
        <f aca="false">IF(D$4&lt;$B58,0,INDEX($D$10:$U$10,$B58)*(1-Assumptions!$D$18)^(D$4-$B58))</f>
        <v>0</v>
      </c>
      <c r="E58" s="27" t="n">
        <f aca="false">IF(E$4&lt;$B58,0,INDEX($D$10:$U$10,$B58)*(1-Assumptions!$D$18)^(E$4-$B58))</f>
        <v>0</v>
      </c>
      <c r="F58" s="27" t="n">
        <f aca="false">IF(F$4&lt;$B58,0,INDEX($D$10:$U$10,$B58)*(1-Assumptions!$D$18)^(F$4-$B58))</f>
        <v>0</v>
      </c>
      <c r="G58" s="27" t="n">
        <f aca="false">IF(G$4&lt;$B58,0,INDEX($D$10:$U$10,$B58)*(1-Assumptions!$D$18)^(G$4-$B58))</f>
        <v>0</v>
      </c>
      <c r="H58" s="27" t="n">
        <f aca="false">IF(H$4&lt;$B58,0,INDEX($D$10:$U$10,$B58)*(1-Assumptions!$D$18)^(H$4-$B58))</f>
        <v>0</v>
      </c>
      <c r="I58" s="27" t="n">
        <f aca="false">IF(I$4&lt;$B58,0,INDEX($D$10:$U$10,$B58)*(1-Assumptions!$D$18)^(I$4-$B58))</f>
        <v>0</v>
      </c>
      <c r="J58" s="27" t="n">
        <f aca="false">IF(J$4&lt;$B58,0,INDEX($D$10:$U$10,$B58)*(1-Assumptions!$D$18)^(J$4-$B58))</f>
        <v>0</v>
      </c>
      <c r="K58" s="27" t="n">
        <f aca="false">IF(K$4&lt;$B58,0,INDEX($D$10:$U$10,$B58)*(1-Assumptions!$D$18)^(K$4-$B58))</f>
        <v>0</v>
      </c>
      <c r="L58" s="27" t="n">
        <f aca="false">IF(L$4&lt;$B58,0,INDEX($D$10:$U$10,$B58)*(1-Assumptions!$D$18)^(L$4-$B58))</f>
        <v>0</v>
      </c>
      <c r="M58" s="27" t="n">
        <f aca="false">IF(M$4&lt;$B58,0,INDEX($D$10:$U$10,$B58)*(1-Assumptions!$D$18)^(M$4-$B58))</f>
        <v>13125</v>
      </c>
      <c r="N58" s="27" t="n">
        <f aca="false">IF(N$4&lt;$B58,0,INDEX($D$10:$U$10,$B58)*(1-Assumptions!$D$18)^(N$4-$B58))</f>
        <v>12075</v>
      </c>
      <c r="O58" s="27" t="n">
        <f aca="false">IF(O$4&lt;$B58,0,INDEX($D$10:$U$10,$B58)*(1-Assumptions!$D$18)^(O$4-$B58))</f>
        <v>11109</v>
      </c>
      <c r="P58" s="27" t="n">
        <f aca="false">IF(P$4&lt;$B58,0,INDEX($D$10:$U$10,$B58)*(1-Assumptions!$D$18)^(P$4-$B58))</f>
        <v>10220.28</v>
      </c>
      <c r="Q58" s="27" t="n">
        <f aca="false">IF(Q$4&lt;$B58,0,INDEX($D$10:$U$10,$B58)*(1-Assumptions!$D$18)^(Q$4-$B58))</f>
        <v>9402.6576</v>
      </c>
      <c r="R58" s="27" t="n">
        <f aca="false">IF(R$4&lt;$B58,0,INDEX($D$10:$U$10,$B58)*(1-Assumptions!$D$18)^(R$4-$B58))</f>
        <v>8650.444992</v>
      </c>
      <c r="S58" s="27" t="n">
        <f aca="false">IF(S$4&lt;$B58,0,INDEX($D$10:$U$10,$B58)*(1-Assumptions!$D$18)^(S$4-$B58))</f>
        <v>7958.40939264</v>
      </c>
      <c r="T58" s="27" t="n">
        <f aca="false">IF(T$4&lt;$B58,0,INDEX($D$10:$U$10,$B58)*(1-Assumptions!$D$18)^(T$4-$B58))</f>
        <v>7321.7366412288</v>
      </c>
      <c r="U58" s="27" t="n">
        <f aca="false">IF(U$4&lt;$B58,0,INDEX($D$10:$U$10,$B58)*(1-Assumptions!$D$18)^(U$4-$B58))</f>
        <v>6735.9977099305</v>
      </c>
    </row>
    <row r="59" customFormat="false" ht="15" hidden="false" customHeight="false" outlineLevel="0" collapsed="false">
      <c r="A59" s="2" t="s">
        <v>276</v>
      </c>
      <c r="B59" s="15" t="n">
        <v>11</v>
      </c>
      <c r="D59" s="27" t="n">
        <f aca="false">IF(D$4&lt;$B59,0,INDEX($D$10:$U$10,$B59)*(1-Assumptions!$D$18)^(D$4-$B59))</f>
        <v>0</v>
      </c>
      <c r="E59" s="27" t="n">
        <f aca="false">IF(E$4&lt;$B59,0,INDEX($D$10:$U$10,$B59)*(1-Assumptions!$D$18)^(E$4-$B59))</f>
        <v>0</v>
      </c>
      <c r="F59" s="27" t="n">
        <f aca="false">IF(F$4&lt;$B59,0,INDEX($D$10:$U$10,$B59)*(1-Assumptions!$D$18)^(F$4-$B59))</f>
        <v>0</v>
      </c>
      <c r="G59" s="27" t="n">
        <f aca="false">IF(G$4&lt;$B59,0,INDEX($D$10:$U$10,$B59)*(1-Assumptions!$D$18)^(G$4-$B59))</f>
        <v>0</v>
      </c>
      <c r="H59" s="27" t="n">
        <f aca="false">IF(H$4&lt;$B59,0,INDEX($D$10:$U$10,$B59)*(1-Assumptions!$D$18)^(H$4-$B59))</f>
        <v>0</v>
      </c>
      <c r="I59" s="27" t="n">
        <f aca="false">IF(I$4&lt;$B59,0,INDEX($D$10:$U$10,$B59)*(1-Assumptions!$D$18)^(I$4-$B59))</f>
        <v>0</v>
      </c>
      <c r="J59" s="27" t="n">
        <f aca="false">IF(J$4&lt;$B59,0,INDEX($D$10:$U$10,$B59)*(1-Assumptions!$D$18)^(J$4-$B59))</f>
        <v>0</v>
      </c>
      <c r="K59" s="27" t="n">
        <f aca="false">IF(K$4&lt;$B59,0,INDEX($D$10:$U$10,$B59)*(1-Assumptions!$D$18)^(K$4-$B59))</f>
        <v>0</v>
      </c>
      <c r="L59" s="27" t="n">
        <f aca="false">IF(L$4&lt;$B59,0,INDEX($D$10:$U$10,$B59)*(1-Assumptions!$D$18)^(L$4-$B59))</f>
        <v>0</v>
      </c>
      <c r="M59" s="27" t="n">
        <f aca="false">IF(M$4&lt;$B59,0,INDEX($D$10:$U$10,$B59)*(1-Assumptions!$D$18)^(M$4-$B59))</f>
        <v>0</v>
      </c>
      <c r="N59" s="27" t="n">
        <f aca="false">IF(N$4&lt;$B59,0,INDEX($D$10:$U$10,$B59)*(1-Assumptions!$D$18)^(N$4-$B59))</f>
        <v>11250</v>
      </c>
      <c r="O59" s="27" t="n">
        <f aca="false">IF(O$4&lt;$B59,0,INDEX($D$10:$U$10,$B59)*(1-Assumptions!$D$18)^(O$4-$B59))</f>
        <v>10350</v>
      </c>
      <c r="P59" s="27" t="n">
        <f aca="false">IF(P$4&lt;$B59,0,INDEX($D$10:$U$10,$B59)*(1-Assumptions!$D$18)^(P$4-$B59))</f>
        <v>9522</v>
      </c>
      <c r="Q59" s="27" t="n">
        <f aca="false">IF(Q$4&lt;$B59,0,INDEX($D$10:$U$10,$B59)*(1-Assumptions!$D$18)^(Q$4-$B59))</f>
        <v>8760.24</v>
      </c>
      <c r="R59" s="27" t="n">
        <f aca="false">IF(R$4&lt;$B59,0,INDEX($D$10:$U$10,$B59)*(1-Assumptions!$D$18)^(R$4-$B59))</f>
        <v>8059.4208</v>
      </c>
      <c r="S59" s="27" t="n">
        <f aca="false">IF(S$4&lt;$B59,0,INDEX($D$10:$U$10,$B59)*(1-Assumptions!$D$18)^(S$4-$B59))</f>
        <v>7414.667136</v>
      </c>
      <c r="T59" s="27" t="n">
        <f aca="false">IF(T$4&lt;$B59,0,INDEX($D$10:$U$10,$B59)*(1-Assumptions!$D$18)^(T$4-$B59))</f>
        <v>6821.49376512</v>
      </c>
      <c r="U59" s="27" t="n">
        <f aca="false">IF(U$4&lt;$B59,0,INDEX($D$10:$U$10,$B59)*(1-Assumptions!$D$18)^(U$4-$B59))</f>
        <v>6275.7742639104</v>
      </c>
    </row>
    <row r="60" customFormat="false" ht="15" hidden="false" customHeight="false" outlineLevel="0" collapsed="false">
      <c r="A60" s="2" t="s">
        <v>277</v>
      </c>
      <c r="B60" s="15" t="n">
        <v>12</v>
      </c>
      <c r="D60" s="27" t="n">
        <f aca="false">IF(D$4&lt;$B60,0,INDEX($D$10:$U$10,$B60)*(1-Assumptions!$D$18)^(D$4-$B60))</f>
        <v>0</v>
      </c>
      <c r="E60" s="27" t="n">
        <f aca="false">IF(E$4&lt;$B60,0,INDEX($D$10:$U$10,$B60)*(1-Assumptions!$D$18)^(E$4-$B60))</f>
        <v>0</v>
      </c>
      <c r="F60" s="27" t="n">
        <f aca="false">IF(F$4&lt;$B60,0,INDEX($D$10:$U$10,$B60)*(1-Assumptions!$D$18)^(F$4-$B60))</f>
        <v>0</v>
      </c>
      <c r="G60" s="27" t="n">
        <f aca="false">IF(G$4&lt;$B60,0,INDEX($D$10:$U$10,$B60)*(1-Assumptions!$D$18)^(G$4-$B60))</f>
        <v>0</v>
      </c>
      <c r="H60" s="27" t="n">
        <f aca="false">IF(H$4&lt;$B60,0,INDEX($D$10:$U$10,$B60)*(1-Assumptions!$D$18)^(H$4-$B60))</f>
        <v>0</v>
      </c>
      <c r="I60" s="27" t="n">
        <f aca="false">IF(I$4&lt;$B60,0,INDEX($D$10:$U$10,$B60)*(1-Assumptions!$D$18)^(I$4-$B60))</f>
        <v>0</v>
      </c>
      <c r="J60" s="27" t="n">
        <f aca="false">IF(J$4&lt;$B60,0,INDEX($D$10:$U$10,$B60)*(1-Assumptions!$D$18)^(J$4-$B60))</f>
        <v>0</v>
      </c>
      <c r="K60" s="27" t="n">
        <f aca="false">IF(K$4&lt;$B60,0,INDEX($D$10:$U$10,$B60)*(1-Assumptions!$D$18)^(K$4-$B60))</f>
        <v>0</v>
      </c>
      <c r="L60" s="27" t="n">
        <f aca="false">IF(L$4&lt;$B60,0,INDEX($D$10:$U$10,$B60)*(1-Assumptions!$D$18)^(L$4-$B60))</f>
        <v>0</v>
      </c>
      <c r="M60" s="27" t="n">
        <f aca="false">IF(M$4&lt;$B60,0,INDEX($D$10:$U$10,$B60)*(1-Assumptions!$D$18)^(M$4-$B60))</f>
        <v>0</v>
      </c>
      <c r="N60" s="27" t="n">
        <f aca="false">IF(N$4&lt;$B60,0,INDEX($D$10:$U$10,$B60)*(1-Assumptions!$D$18)^(N$4-$B60))</f>
        <v>0</v>
      </c>
      <c r="O60" s="27" t="n">
        <f aca="false">IF(O$4&lt;$B60,0,INDEX($D$10:$U$10,$B60)*(1-Assumptions!$D$18)^(O$4-$B60))</f>
        <v>11250</v>
      </c>
      <c r="P60" s="27" t="n">
        <f aca="false">IF(P$4&lt;$B60,0,INDEX($D$10:$U$10,$B60)*(1-Assumptions!$D$18)^(P$4-$B60))</f>
        <v>10350</v>
      </c>
      <c r="Q60" s="27" t="n">
        <f aca="false">IF(Q$4&lt;$B60,0,INDEX($D$10:$U$10,$B60)*(1-Assumptions!$D$18)^(Q$4-$B60))</f>
        <v>9522</v>
      </c>
      <c r="R60" s="27" t="n">
        <f aca="false">IF(R$4&lt;$B60,0,INDEX($D$10:$U$10,$B60)*(1-Assumptions!$D$18)^(R$4-$B60))</f>
        <v>8760.24</v>
      </c>
      <c r="S60" s="27" t="n">
        <f aca="false">IF(S$4&lt;$B60,0,INDEX($D$10:$U$10,$B60)*(1-Assumptions!$D$18)^(S$4-$B60))</f>
        <v>8059.4208</v>
      </c>
      <c r="T60" s="27" t="n">
        <f aca="false">IF(T$4&lt;$B60,0,INDEX($D$10:$U$10,$B60)*(1-Assumptions!$D$18)^(T$4-$B60))</f>
        <v>7414.667136</v>
      </c>
      <c r="U60" s="27" t="n">
        <f aca="false">IF(U$4&lt;$B60,0,INDEX($D$10:$U$10,$B60)*(1-Assumptions!$D$18)^(U$4-$B60))</f>
        <v>6821.49376512</v>
      </c>
    </row>
    <row r="61" customFormat="false" ht="15" hidden="false" customHeight="false" outlineLevel="0" collapsed="false">
      <c r="A61" s="2" t="s">
        <v>278</v>
      </c>
      <c r="B61" s="15" t="n">
        <v>13</v>
      </c>
      <c r="D61" s="27" t="n">
        <f aca="false">IF(D$4&lt;$B61,0,INDEX($D$10:$U$10,$B61)*(1-Assumptions!$D$18)^(D$4-$B61))</f>
        <v>0</v>
      </c>
      <c r="E61" s="27" t="n">
        <f aca="false">IF(E$4&lt;$B61,0,INDEX($D$10:$U$10,$B61)*(1-Assumptions!$D$18)^(E$4-$B61))</f>
        <v>0</v>
      </c>
      <c r="F61" s="27" t="n">
        <f aca="false">IF(F$4&lt;$B61,0,INDEX($D$10:$U$10,$B61)*(1-Assumptions!$D$18)^(F$4-$B61))</f>
        <v>0</v>
      </c>
      <c r="G61" s="27" t="n">
        <f aca="false">IF(G$4&lt;$B61,0,INDEX($D$10:$U$10,$B61)*(1-Assumptions!$D$18)^(G$4-$B61))</f>
        <v>0</v>
      </c>
      <c r="H61" s="27" t="n">
        <f aca="false">IF(H$4&lt;$B61,0,INDEX($D$10:$U$10,$B61)*(1-Assumptions!$D$18)^(H$4-$B61))</f>
        <v>0</v>
      </c>
      <c r="I61" s="27" t="n">
        <f aca="false">IF(I$4&lt;$B61,0,INDEX($D$10:$U$10,$B61)*(1-Assumptions!$D$18)^(I$4-$B61))</f>
        <v>0</v>
      </c>
      <c r="J61" s="27" t="n">
        <f aca="false">IF(J$4&lt;$B61,0,INDEX($D$10:$U$10,$B61)*(1-Assumptions!$D$18)^(J$4-$B61))</f>
        <v>0</v>
      </c>
      <c r="K61" s="27" t="n">
        <f aca="false">IF(K$4&lt;$B61,0,INDEX($D$10:$U$10,$B61)*(1-Assumptions!$D$18)^(K$4-$B61))</f>
        <v>0</v>
      </c>
      <c r="L61" s="27" t="n">
        <f aca="false">IF(L$4&lt;$B61,0,INDEX($D$10:$U$10,$B61)*(1-Assumptions!$D$18)^(L$4-$B61))</f>
        <v>0</v>
      </c>
      <c r="M61" s="27" t="n">
        <f aca="false">IF(M$4&lt;$B61,0,INDEX($D$10:$U$10,$B61)*(1-Assumptions!$D$18)^(M$4-$B61))</f>
        <v>0</v>
      </c>
      <c r="N61" s="27" t="n">
        <f aca="false">IF(N$4&lt;$B61,0,INDEX($D$10:$U$10,$B61)*(1-Assumptions!$D$18)^(N$4-$B61))</f>
        <v>0</v>
      </c>
      <c r="O61" s="27" t="n">
        <f aca="false">IF(O$4&lt;$B61,0,INDEX($D$10:$U$10,$B61)*(1-Assumptions!$D$18)^(O$4-$B61))</f>
        <v>0</v>
      </c>
      <c r="P61" s="27" t="n">
        <f aca="false">IF(P$4&lt;$B61,0,INDEX($D$10:$U$10,$B61)*(1-Assumptions!$D$18)^(P$4-$B61))</f>
        <v>11250</v>
      </c>
      <c r="Q61" s="27" t="n">
        <f aca="false">IF(Q$4&lt;$B61,0,INDEX($D$10:$U$10,$B61)*(1-Assumptions!$D$18)^(Q$4-$B61))</f>
        <v>10350</v>
      </c>
      <c r="R61" s="27" t="n">
        <f aca="false">IF(R$4&lt;$B61,0,INDEX($D$10:$U$10,$B61)*(1-Assumptions!$D$18)^(R$4-$B61))</f>
        <v>9522</v>
      </c>
      <c r="S61" s="27" t="n">
        <f aca="false">IF(S$4&lt;$B61,0,INDEX($D$10:$U$10,$B61)*(1-Assumptions!$D$18)^(S$4-$B61))</f>
        <v>8760.24</v>
      </c>
      <c r="T61" s="27" t="n">
        <f aca="false">IF(T$4&lt;$B61,0,INDEX($D$10:$U$10,$B61)*(1-Assumptions!$D$18)^(T$4-$B61))</f>
        <v>8059.4208</v>
      </c>
      <c r="U61" s="27" t="n">
        <f aca="false">IF(U$4&lt;$B61,0,INDEX($D$10:$U$10,$B61)*(1-Assumptions!$D$18)^(U$4-$B61))</f>
        <v>7414.667136</v>
      </c>
    </row>
    <row r="62" customFormat="false" ht="15" hidden="false" customHeight="false" outlineLevel="0" collapsed="false">
      <c r="A62" s="2" t="s">
        <v>279</v>
      </c>
      <c r="B62" s="15" t="n">
        <v>14</v>
      </c>
      <c r="D62" s="27" t="n">
        <f aca="false">IF(D$4&lt;$B62,0,INDEX($D$10:$U$10,$B62)*(1-Assumptions!$D$18)^(D$4-$B62))</f>
        <v>0</v>
      </c>
      <c r="E62" s="27" t="n">
        <f aca="false">IF(E$4&lt;$B62,0,INDEX($D$10:$U$10,$B62)*(1-Assumptions!$D$18)^(E$4-$B62))</f>
        <v>0</v>
      </c>
      <c r="F62" s="27" t="n">
        <f aca="false">IF(F$4&lt;$B62,0,INDEX($D$10:$U$10,$B62)*(1-Assumptions!$D$18)^(F$4-$B62))</f>
        <v>0</v>
      </c>
      <c r="G62" s="27" t="n">
        <f aca="false">IF(G$4&lt;$B62,0,INDEX($D$10:$U$10,$B62)*(1-Assumptions!$D$18)^(G$4-$B62))</f>
        <v>0</v>
      </c>
      <c r="H62" s="27" t="n">
        <f aca="false">IF(H$4&lt;$B62,0,INDEX($D$10:$U$10,$B62)*(1-Assumptions!$D$18)^(H$4-$B62))</f>
        <v>0</v>
      </c>
      <c r="I62" s="27" t="n">
        <f aca="false">IF(I$4&lt;$B62,0,INDEX($D$10:$U$10,$B62)*(1-Assumptions!$D$18)^(I$4-$B62))</f>
        <v>0</v>
      </c>
      <c r="J62" s="27" t="n">
        <f aca="false">IF(J$4&lt;$B62,0,INDEX($D$10:$U$10,$B62)*(1-Assumptions!$D$18)^(J$4-$B62))</f>
        <v>0</v>
      </c>
      <c r="K62" s="27" t="n">
        <f aca="false">IF(K$4&lt;$B62,0,INDEX($D$10:$U$10,$B62)*(1-Assumptions!$D$18)^(K$4-$B62))</f>
        <v>0</v>
      </c>
      <c r="L62" s="27" t="n">
        <f aca="false">IF(L$4&lt;$B62,0,INDEX($D$10:$U$10,$B62)*(1-Assumptions!$D$18)^(L$4-$B62))</f>
        <v>0</v>
      </c>
      <c r="M62" s="27" t="n">
        <f aca="false">IF(M$4&lt;$B62,0,INDEX($D$10:$U$10,$B62)*(1-Assumptions!$D$18)^(M$4-$B62))</f>
        <v>0</v>
      </c>
      <c r="N62" s="27" t="n">
        <f aca="false">IF(N$4&lt;$B62,0,INDEX($D$10:$U$10,$B62)*(1-Assumptions!$D$18)^(N$4-$B62))</f>
        <v>0</v>
      </c>
      <c r="O62" s="27" t="n">
        <f aca="false">IF(O$4&lt;$B62,0,INDEX($D$10:$U$10,$B62)*(1-Assumptions!$D$18)^(O$4-$B62))</f>
        <v>0</v>
      </c>
      <c r="P62" s="27" t="n">
        <f aca="false">IF(P$4&lt;$B62,0,INDEX($D$10:$U$10,$B62)*(1-Assumptions!$D$18)^(P$4-$B62))</f>
        <v>0</v>
      </c>
      <c r="Q62" s="27" t="n">
        <f aca="false">IF(Q$4&lt;$B62,0,INDEX($D$10:$U$10,$B62)*(1-Assumptions!$D$18)^(Q$4-$B62))</f>
        <v>9375</v>
      </c>
      <c r="R62" s="27" t="n">
        <f aca="false">IF(R$4&lt;$B62,0,INDEX($D$10:$U$10,$B62)*(1-Assumptions!$D$18)^(R$4-$B62))</f>
        <v>8625</v>
      </c>
      <c r="S62" s="27" t="n">
        <f aca="false">IF(S$4&lt;$B62,0,INDEX($D$10:$U$10,$B62)*(1-Assumptions!$D$18)^(S$4-$B62))</f>
        <v>7935</v>
      </c>
      <c r="T62" s="27" t="n">
        <f aca="false">IF(T$4&lt;$B62,0,INDEX($D$10:$U$10,$B62)*(1-Assumptions!$D$18)^(T$4-$B62))</f>
        <v>7300.2</v>
      </c>
      <c r="U62" s="27" t="n">
        <f aca="false">IF(U$4&lt;$B62,0,INDEX($D$10:$U$10,$B62)*(1-Assumptions!$D$18)^(U$4-$B62))</f>
        <v>6716.184</v>
      </c>
    </row>
    <row r="63" customFormat="false" ht="15" hidden="false" customHeight="false" outlineLevel="0" collapsed="false">
      <c r="A63" s="2" t="s">
        <v>280</v>
      </c>
      <c r="B63" s="15" t="n">
        <v>15</v>
      </c>
      <c r="D63" s="27" t="n">
        <f aca="false">IF(D$4&lt;$B63,0,INDEX($D$10:$U$10,$B63)*(1-Assumptions!$D$18)^(D$4-$B63))</f>
        <v>0</v>
      </c>
      <c r="E63" s="27" t="n">
        <f aca="false">IF(E$4&lt;$B63,0,INDEX($D$10:$U$10,$B63)*(1-Assumptions!$D$18)^(E$4-$B63))</f>
        <v>0</v>
      </c>
      <c r="F63" s="27" t="n">
        <f aca="false">IF(F$4&lt;$B63,0,INDEX($D$10:$U$10,$B63)*(1-Assumptions!$D$18)^(F$4-$B63))</f>
        <v>0</v>
      </c>
      <c r="G63" s="27" t="n">
        <f aca="false">IF(G$4&lt;$B63,0,INDEX($D$10:$U$10,$B63)*(1-Assumptions!$D$18)^(G$4-$B63))</f>
        <v>0</v>
      </c>
      <c r="H63" s="27" t="n">
        <f aca="false">IF(H$4&lt;$B63,0,INDEX($D$10:$U$10,$B63)*(1-Assumptions!$D$18)^(H$4-$B63))</f>
        <v>0</v>
      </c>
      <c r="I63" s="27" t="n">
        <f aca="false">IF(I$4&lt;$B63,0,INDEX($D$10:$U$10,$B63)*(1-Assumptions!$D$18)^(I$4-$B63))</f>
        <v>0</v>
      </c>
      <c r="J63" s="27" t="n">
        <f aca="false">IF(J$4&lt;$B63,0,INDEX($D$10:$U$10,$B63)*(1-Assumptions!$D$18)^(J$4-$B63))</f>
        <v>0</v>
      </c>
      <c r="K63" s="27" t="n">
        <f aca="false">IF(K$4&lt;$B63,0,INDEX($D$10:$U$10,$B63)*(1-Assumptions!$D$18)^(K$4-$B63))</f>
        <v>0</v>
      </c>
      <c r="L63" s="27" t="n">
        <f aca="false">IF(L$4&lt;$B63,0,INDEX($D$10:$U$10,$B63)*(1-Assumptions!$D$18)^(L$4-$B63))</f>
        <v>0</v>
      </c>
      <c r="M63" s="27" t="n">
        <f aca="false">IF(M$4&lt;$B63,0,INDEX($D$10:$U$10,$B63)*(1-Assumptions!$D$18)^(M$4-$B63))</f>
        <v>0</v>
      </c>
      <c r="N63" s="27" t="n">
        <f aca="false">IF(N$4&lt;$B63,0,INDEX($D$10:$U$10,$B63)*(1-Assumptions!$D$18)^(N$4-$B63))</f>
        <v>0</v>
      </c>
      <c r="O63" s="27" t="n">
        <f aca="false">IF(O$4&lt;$B63,0,INDEX($D$10:$U$10,$B63)*(1-Assumptions!$D$18)^(O$4-$B63))</f>
        <v>0</v>
      </c>
      <c r="P63" s="27" t="n">
        <f aca="false">IF(P$4&lt;$B63,0,INDEX($D$10:$U$10,$B63)*(1-Assumptions!$D$18)^(P$4-$B63))</f>
        <v>0</v>
      </c>
      <c r="Q63" s="27" t="n">
        <f aca="false">IF(Q$4&lt;$B63,0,INDEX($D$10:$U$10,$B63)*(1-Assumptions!$D$18)^(Q$4-$B63))</f>
        <v>0</v>
      </c>
      <c r="R63" s="27" t="n">
        <f aca="false">IF(R$4&lt;$B63,0,INDEX($D$10:$U$10,$B63)*(1-Assumptions!$D$18)^(R$4-$B63))</f>
        <v>9375</v>
      </c>
      <c r="S63" s="27" t="n">
        <f aca="false">IF(S$4&lt;$B63,0,INDEX($D$10:$U$10,$B63)*(1-Assumptions!$D$18)^(S$4-$B63))</f>
        <v>8625</v>
      </c>
      <c r="T63" s="27" t="n">
        <f aca="false">IF(T$4&lt;$B63,0,INDEX($D$10:$U$10,$B63)*(1-Assumptions!$D$18)^(T$4-$B63))</f>
        <v>7935</v>
      </c>
      <c r="U63" s="27" t="n">
        <f aca="false">IF(U$4&lt;$B63,0,INDEX($D$10:$U$10,$B63)*(1-Assumptions!$D$18)^(U$4-$B63))</f>
        <v>7300.2</v>
      </c>
    </row>
    <row r="64" customFormat="false" ht="15" hidden="false" customHeight="false" outlineLevel="0" collapsed="false">
      <c r="A64" s="2" t="s">
        <v>281</v>
      </c>
      <c r="B64" s="15" t="n">
        <v>16</v>
      </c>
      <c r="D64" s="27" t="n">
        <f aca="false">IF(D$4&lt;$B64,0,INDEX($D$10:$U$10,$B64)*(1-Assumptions!$D$18)^(D$4-$B64))</f>
        <v>0</v>
      </c>
      <c r="E64" s="27" t="n">
        <f aca="false">IF(E$4&lt;$B64,0,INDEX($D$10:$U$10,$B64)*(1-Assumptions!$D$18)^(E$4-$B64))</f>
        <v>0</v>
      </c>
      <c r="F64" s="27" t="n">
        <f aca="false">IF(F$4&lt;$B64,0,INDEX($D$10:$U$10,$B64)*(1-Assumptions!$D$18)^(F$4-$B64))</f>
        <v>0</v>
      </c>
      <c r="G64" s="27" t="n">
        <f aca="false">IF(G$4&lt;$B64,0,INDEX($D$10:$U$10,$B64)*(1-Assumptions!$D$18)^(G$4-$B64))</f>
        <v>0</v>
      </c>
      <c r="H64" s="27" t="n">
        <f aca="false">IF(H$4&lt;$B64,0,INDEX($D$10:$U$10,$B64)*(1-Assumptions!$D$18)^(H$4-$B64))</f>
        <v>0</v>
      </c>
      <c r="I64" s="27" t="n">
        <f aca="false">IF(I$4&lt;$B64,0,INDEX($D$10:$U$10,$B64)*(1-Assumptions!$D$18)^(I$4-$B64))</f>
        <v>0</v>
      </c>
      <c r="J64" s="27" t="n">
        <f aca="false">IF(J$4&lt;$B64,0,INDEX($D$10:$U$10,$B64)*(1-Assumptions!$D$18)^(J$4-$B64))</f>
        <v>0</v>
      </c>
      <c r="K64" s="27" t="n">
        <f aca="false">IF(K$4&lt;$B64,0,INDEX($D$10:$U$10,$B64)*(1-Assumptions!$D$18)^(K$4-$B64))</f>
        <v>0</v>
      </c>
      <c r="L64" s="27" t="n">
        <f aca="false">IF(L$4&lt;$B64,0,INDEX($D$10:$U$10,$B64)*(1-Assumptions!$D$18)^(L$4-$B64))</f>
        <v>0</v>
      </c>
      <c r="M64" s="27" t="n">
        <f aca="false">IF(M$4&lt;$B64,0,INDEX($D$10:$U$10,$B64)*(1-Assumptions!$D$18)^(M$4-$B64))</f>
        <v>0</v>
      </c>
      <c r="N64" s="27" t="n">
        <f aca="false">IF(N$4&lt;$B64,0,INDEX($D$10:$U$10,$B64)*(1-Assumptions!$D$18)^(N$4-$B64))</f>
        <v>0</v>
      </c>
      <c r="O64" s="27" t="n">
        <f aca="false">IF(O$4&lt;$B64,0,INDEX($D$10:$U$10,$B64)*(1-Assumptions!$D$18)^(O$4-$B64))</f>
        <v>0</v>
      </c>
      <c r="P64" s="27" t="n">
        <f aca="false">IF(P$4&lt;$B64,0,INDEX($D$10:$U$10,$B64)*(1-Assumptions!$D$18)^(P$4-$B64))</f>
        <v>0</v>
      </c>
      <c r="Q64" s="27" t="n">
        <f aca="false">IF(Q$4&lt;$B64,0,INDEX($D$10:$U$10,$B64)*(1-Assumptions!$D$18)^(Q$4-$B64))</f>
        <v>0</v>
      </c>
      <c r="R64" s="27" t="n">
        <f aca="false">IF(R$4&lt;$B64,0,INDEX($D$10:$U$10,$B64)*(1-Assumptions!$D$18)^(R$4-$B64))</f>
        <v>0</v>
      </c>
      <c r="S64" s="27" t="n">
        <f aca="false">IF(S$4&lt;$B64,0,INDEX($D$10:$U$10,$B64)*(1-Assumptions!$D$18)^(S$4-$B64))</f>
        <v>9375</v>
      </c>
      <c r="T64" s="27" t="n">
        <f aca="false">IF(T$4&lt;$B64,0,INDEX($D$10:$U$10,$B64)*(1-Assumptions!$D$18)^(T$4-$B64))</f>
        <v>8625</v>
      </c>
      <c r="U64" s="27" t="n">
        <f aca="false">IF(U$4&lt;$B64,0,INDEX($D$10:$U$10,$B64)*(1-Assumptions!$D$18)^(U$4-$B64))</f>
        <v>7935</v>
      </c>
    </row>
    <row r="65" customFormat="false" ht="15" hidden="false" customHeight="false" outlineLevel="0" collapsed="false">
      <c r="A65" s="2" t="s">
        <v>282</v>
      </c>
      <c r="B65" s="15" t="n">
        <v>17</v>
      </c>
      <c r="D65" s="27" t="n">
        <f aca="false">IF(D$4&lt;$B65,0,INDEX($D$10:$U$10,$B65)*(1-Assumptions!$D$18)^(D$4-$B65))</f>
        <v>0</v>
      </c>
      <c r="E65" s="27" t="n">
        <f aca="false">IF(E$4&lt;$B65,0,INDEX($D$10:$U$10,$B65)*(1-Assumptions!$D$18)^(E$4-$B65))</f>
        <v>0</v>
      </c>
      <c r="F65" s="27" t="n">
        <f aca="false">IF(F$4&lt;$B65,0,INDEX($D$10:$U$10,$B65)*(1-Assumptions!$D$18)^(F$4-$B65))</f>
        <v>0</v>
      </c>
      <c r="G65" s="27" t="n">
        <f aca="false">IF(G$4&lt;$B65,0,INDEX($D$10:$U$10,$B65)*(1-Assumptions!$D$18)^(G$4-$B65))</f>
        <v>0</v>
      </c>
      <c r="H65" s="27" t="n">
        <f aca="false">IF(H$4&lt;$B65,0,INDEX($D$10:$U$10,$B65)*(1-Assumptions!$D$18)^(H$4-$B65))</f>
        <v>0</v>
      </c>
      <c r="I65" s="27" t="n">
        <f aca="false">IF(I$4&lt;$B65,0,INDEX($D$10:$U$10,$B65)*(1-Assumptions!$D$18)^(I$4-$B65))</f>
        <v>0</v>
      </c>
      <c r="J65" s="27" t="n">
        <f aca="false">IF(J$4&lt;$B65,0,INDEX($D$10:$U$10,$B65)*(1-Assumptions!$D$18)^(J$4-$B65))</f>
        <v>0</v>
      </c>
      <c r="K65" s="27" t="n">
        <f aca="false">IF(K$4&lt;$B65,0,INDEX($D$10:$U$10,$B65)*(1-Assumptions!$D$18)^(K$4-$B65))</f>
        <v>0</v>
      </c>
      <c r="L65" s="27" t="n">
        <f aca="false">IF(L$4&lt;$B65,0,INDEX($D$10:$U$10,$B65)*(1-Assumptions!$D$18)^(L$4-$B65))</f>
        <v>0</v>
      </c>
      <c r="M65" s="27" t="n">
        <f aca="false">IF(M$4&lt;$B65,0,INDEX($D$10:$U$10,$B65)*(1-Assumptions!$D$18)^(M$4-$B65))</f>
        <v>0</v>
      </c>
      <c r="N65" s="27" t="n">
        <f aca="false">IF(N$4&lt;$B65,0,INDEX($D$10:$U$10,$B65)*(1-Assumptions!$D$18)^(N$4-$B65))</f>
        <v>0</v>
      </c>
      <c r="O65" s="27" t="n">
        <f aca="false">IF(O$4&lt;$B65,0,INDEX($D$10:$U$10,$B65)*(1-Assumptions!$D$18)^(O$4-$B65))</f>
        <v>0</v>
      </c>
      <c r="P65" s="27" t="n">
        <f aca="false">IF(P$4&lt;$B65,0,INDEX($D$10:$U$10,$B65)*(1-Assumptions!$D$18)^(P$4-$B65))</f>
        <v>0</v>
      </c>
      <c r="Q65" s="27" t="n">
        <f aca="false">IF(Q$4&lt;$B65,0,INDEX($D$10:$U$10,$B65)*(1-Assumptions!$D$18)^(Q$4-$B65))</f>
        <v>0</v>
      </c>
      <c r="R65" s="27" t="n">
        <f aca="false">IF(R$4&lt;$B65,0,INDEX($D$10:$U$10,$B65)*(1-Assumptions!$D$18)^(R$4-$B65))</f>
        <v>0</v>
      </c>
      <c r="S65" s="27" t="n">
        <f aca="false">IF(S$4&lt;$B65,0,INDEX($D$10:$U$10,$B65)*(1-Assumptions!$D$18)^(S$4-$B65))</f>
        <v>0</v>
      </c>
      <c r="T65" s="27" t="n">
        <f aca="false">IF(T$4&lt;$B65,0,INDEX($D$10:$U$10,$B65)*(1-Assumptions!$D$18)^(T$4-$B65))</f>
        <v>7500</v>
      </c>
      <c r="U65" s="27" t="n">
        <f aca="false">IF(U$4&lt;$B65,0,INDEX($D$10:$U$10,$B65)*(1-Assumptions!$D$18)^(U$4-$B65))</f>
        <v>6900</v>
      </c>
    </row>
    <row r="66" customFormat="false" ht="15" hidden="false" customHeight="false" outlineLevel="0" collapsed="false">
      <c r="A66" s="2" t="s">
        <v>283</v>
      </c>
      <c r="B66" s="15" t="n">
        <v>18</v>
      </c>
      <c r="D66" s="27" t="n">
        <f aca="false">IF(D$4&lt;$B66,0,INDEX($D$10:$U$10,$B66)*(1-Assumptions!$D$18)^(D$4-$B66))</f>
        <v>0</v>
      </c>
      <c r="E66" s="27" t="n">
        <f aca="false">IF(E$4&lt;$B66,0,INDEX($D$10:$U$10,$B66)*(1-Assumptions!$D$18)^(E$4-$B66))</f>
        <v>0</v>
      </c>
      <c r="F66" s="27" t="n">
        <f aca="false">IF(F$4&lt;$B66,0,INDEX($D$10:$U$10,$B66)*(1-Assumptions!$D$18)^(F$4-$B66))</f>
        <v>0</v>
      </c>
      <c r="G66" s="27" t="n">
        <f aca="false">IF(G$4&lt;$B66,0,INDEX($D$10:$U$10,$B66)*(1-Assumptions!$D$18)^(G$4-$B66))</f>
        <v>0</v>
      </c>
      <c r="H66" s="27" t="n">
        <f aca="false">IF(H$4&lt;$B66,0,INDEX($D$10:$U$10,$B66)*(1-Assumptions!$D$18)^(H$4-$B66))</f>
        <v>0</v>
      </c>
      <c r="I66" s="27" t="n">
        <f aca="false">IF(I$4&lt;$B66,0,INDEX($D$10:$U$10,$B66)*(1-Assumptions!$D$18)^(I$4-$B66))</f>
        <v>0</v>
      </c>
      <c r="J66" s="27" t="n">
        <f aca="false">IF(J$4&lt;$B66,0,INDEX($D$10:$U$10,$B66)*(1-Assumptions!$D$18)^(J$4-$B66))</f>
        <v>0</v>
      </c>
      <c r="K66" s="27" t="n">
        <f aca="false">IF(K$4&lt;$B66,0,INDEX($D$10:$U$10,$B66)*(1-Assumptions!$D$18)^(K$4-$B66))</f>
        <v>0</v>
      </c>
      <c r="L66" s="27" t="n">
        <f aca="false">IF(L$4&lt;$B66,0,INDEX($D$10:$U$10,$B66)*(1-Assumptions!$D$18)^(L$4-$B66))</f>
        <v>0</v>
      </c>
      <c r="M66" s="27" t="n">
        <f aca="false">IF(M$4&lt;$B66,0,INDEX($D$10:$U$10,$B66)*(1-Assumptions!$D$18)^(M$4-$B66))</f>
        <v>0</v>
      </c>
      <c r="N66" s="27" t="n">
        <f aca="false">IF(N$4&lt;$B66,0,INDEX($D$10:$U$10,$B66)*(1-Assumptions!$D$18)^(N$4-$B66))</f>
        <v>0</v>
      </c>
      <c r="O66" s="27" t="n">
        <f aca="false">IF(O$4&lt;$B66,0,INDEX($D$10:$U$10,$B66)*(1-Assumptions!$D$18)^(O$4-$B66))</f>
        <v>0</v>
      </c>
      <c r="P66" s="27" t="n">
        <f aca="false">IF(P$4&lt;$B66,0,INDEX($D$10:$U$10,$B66)*(1-Assumptions!$D$18)^(P$4-$B66))</f>
        <v>0</v>
      </c>
      <c r="Q66" s="27" t="n">
        <f aca="false">IF(Q$4&lt;$B66,0,INDEX($D$10:$U$10,$B66)*(1-Assumptions!$D$18)^(Q$4-$B66))</f>
        <v>0</v>
      </c>
      <c r="R66" s="27" t="n">
        <f aca="false">IF(R$4&lt;$B66,0,INDEX($D$10:$U$10,$B66)*(1-Assumptions!$D$18)^(R$4-$B66))</f>
        <v>0</v>
      </c>
      <c r="S66" s="27" t="n">
        <f aca="false">IF(S$4&lt;$B66,0,INDEX($D$10:$U$10,$B66)*(1-Assumptions!$D$18)^(S$4-$B66))</f>
        <v>0</v>
      </c>
      <c r="T66" s="27" t="n">
        <f aca="false">IF(T$4&lt;$B66,0,INDEX($D$10:$U$10,$B66)*(1-Assumptions!$D$18)^(T$4-$B66))</f>
        <v>0</v>
      </c>
      <c r="U66" s="27" t="n">
        <f aca="false">IF(U$4&lt;$B66,0,INDEX($D$10:$U$10,$B66)*(1-Assumptions!$D$18)^(U$4-$B66))</f>
        <v>7500</v>
      </c>
    </row>
    <row r="69" customFormat="false" ht="15" hidden="false" customHeight="false" outlineLevel="0" collapsed="false">
      <c r="A69" s="6" t="s">
        <v>284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customFormat="false" ht="15" hidden="false" customHeight="false" outlineLevel="0" collapsed="false">
      <c r="A70" s="5" t="s">
        <v>264</v>
      </c>
      <c r="B70" s="5" t="s">
        <v>265</v>
      </c>
      <c r="C70" s="5"/>
      <c r="D70" s="5" t="s">
        <v>195</v>
      </c>
      <c r="E70" s="5" t="s">
        <v>196</v>
      </c>
      <c r="F70" s="5" t="s">
        <v>197</v>
      </c>
      <c r="G70" s="5" t="s">
        <v>198</v>
      </c>
      <c r="H70" s="5" t="s">
        <v>199</v>
      </c>
      <c r="I70" s="5" t="s">
        <v>200</v>
      </c>
      <c r="J70" s="5" t="s">
        <v>201</v>
      </c>
      <c r="K70" s="5" t="s">
        <v>202</v>
      </c>
      <c r="L70" s="5" t="s">
        <v>203</v>
      </c>
      <c r="M70" s="5" t="s">
        <v>204</v>
      </c>
      <c r="N70" s="5" t="s">
        <v>205</v>
      </c>
      <c r="O70" s="5" t="s">
        <v>206</v>
      </c>
      <c r="P70" s="5" t="s">
        <v>207</v>
      </c>
      <c r="Q70" s="5" t="s">
        <v>208</v>
      </c>
      <c r="R70" s="5" t="s">
        <v>209</v>
      </c>
      <c r="S70" s="5" t="s">
        <v>210</v>
      </c>
      <c r="T70" s="5" t="s">
        <v>211</v>
      </c>
      <c r="U70" s="5" t="s">
        <v>212</v>
      </c>
    </row>
    <row r="71" customFormat="false" ht="15" hidden="false" customHeight="false" outlineLevel="0" collapsed="false">
      <c r="A71" s="2" t="s">
        <v>266</v>
      </c>
      <c r="B71" s="15" t="n">
        <v>1</v>
      </c>
      <c r="D71" s="12" t="n">
        <f aca="false">IF(OR(D$4&lt;Assumptions!$D$32,D$4&lt;$B71),0,D49*IF(D$4&gt;=Assumptions!$D$33,INDEX($D$94:$D$111,D$4-MAX($B71,Assumptions!$D$32)+1),INDEX($C$94:$C$111,D$4-MAX($B71,Assumptions!$D$32)+1)))</f>
        <v>0</v>
      </c>
      <c r="E71" s="12" t="n">
        <f aca="false">IF(OR(E$4&lt;Assumptions!$D$32,E$4&lt;$B71),0,E49*IF(E$4&gt;=Assumptions!$D$33,INDEX($D$94:$D$111,E$4-MAX($B71,Assumptions!$D$32)+1),INDEX($C$94:$C$111,E$4-MAX($B71,Assumptions!$D$32)+1)))</f>
        <v>0</v>
      </c>
      <c r="F71" s="12" t="n">
        <f aca="false">IF(OR(F$4&lt;Assumptions!$D$32,F$4&lt;$B71),0,F49*IF(F$4&gt;=Assumptions!$D$33,INDEX($D$94:$D$111,F$4-MAX($B71,Assumptions!$D$32)+1),INDEX($C$94:$C$111,F$4-MAX($B71,Assumptions!$D$32)+1)))</f>
        <v>0</v>
      </c>
      <c r="G71" s="12" t="n">
        <f aca="false">IF(OR(G$4&lt;Assumptions!$D$32,G$4&lt;$B71),0,G49*IF(G$4&gt;=Assumptions!$D$33,INDEX($D$94:$D$111,G$4-MAX($B71,Assumptions!$D$32)+1),INDEX($C$94:$C$111,G$4-MAX($B71,Assumptions!$D$32)+1)))</f>
        <v>0.949026</v>
      </c>
      <c r="H71" s="12" t="n">
        <f aca="false">IF(OR(H$4&lt;Assumptions!$D$32,H$4&lt;$B71),0,H49*IF(H$4&gt;=Assumptions!$D$33,INDEX($D$94:$D$111,H$4-MAX($B71,Assumptions!$D$32)+1),INDEX($C$94:$C$111,H$4-MAX($B71,Assumptions!$D$32)+1)))</f>
        <v>1.74620784</v>
      </c>
      <c r="I71" s="12" t="n">
        <f aca="false">IF(OR(I$4&lt;Assumptions!$D$32,I$4&lt;$B71),0,I49*IF(I$4&gt;=Assumptions!$D$33,INDEX($D$94:$D$111,I$4-MAX($B71,Assumptions!$D$32)+1),INDEX($C$94:$C$111,I$4-MAX($B71,Assumptions!$D$32)+1)))</f>
        <v>2.4097668192</v>
      </c>
      <c r="J71" s="12" t="n">
        <f aca="false">IF(OR(J$4&lt;Assumptions!$D$32,J$4&lt;$B71),0,J49*IF(J$4&gt;=Assumptions!$D$33,INDEX($D$94:$D$111,J$4-MAX($B71,Assumptions!$D$32)+1),INDEX($C$94:$C$111,J$4-MAX($B71,Assumptions!$D$32)+1)))</f>
        <v>3.69497578944</v>
      </c>
      <c r="K71" s="12" t="n">
        <f aca="false">IF(OR(K$4&lt;Assumptions!$D$32,K$4&lt;$B71),0,K49*IF(K$4&gt;=Assumptions!$D$33,INDEX($D$94:$D$111,K$4-MAX($B71,Assumptions!$D$32)+1),INDEX($C$94:$C$111,K$4-MAX($B71,Assumptions!$D$32)+1)))</f>
        <v>3.53535283533619</v>
      </c>
      <c r="L71" s="12" t="n">
        <f aca="false">IF(OR(L$4&lt;Assumptions!$D$32,L$4&lt;$B71),0,L49*IF(L$4&gt;=Assumptions!$D$33,INDEX($D$94:$D$111,L$4-MAX($B71,Assumptions!$D$32)+1),INDEX($C$94:$C$111,L$4-MAX($B71,Assumptions!$D$32)+1)))</f>
        <v>3.2525246085093</v>
      </c>
      <c r="M71" s="12" t="n">
        <f aca="false">IF(OR(M$4&lt;Assumptions!$D$32,M$4&lt;$B71),0,M49*IF(M$4&gt;=Assumptions!$D$33,INDEX($D$94:$D$111,M$4-MAX($B71,Assumptions!$D$32)+1),INDEX($C$94:$C$111,M$4-MAX($B71,Assumptions!$D$32)+1)))</f>
        <v>2.99232263982855</v>
      </c>
      <c r="N71" s="12" t="n">
        <f aca="false">IF(OR(N$4&lt;Assumptions!$D$32,N$4&lt;$B71),0,N49*IF(N$4&gt;=Assumptions!$D$33,INDEX($D$94:$D$111,N$4-MAX($B71,Assumptions!$D$32)+1),INDEX($C$94:$C$111,N$4-MAX($B71,Assumptions!$D$32)+1)))</f>
        <v>2.96470120007629</v>
      </c>
      <c r="O71" s="12" t="n">
        <f aca="false">IF(OR(O$4&lt;Assumptions!$D$32,O$4&lt;$B71),0,O49*IF(O$4&gt;=Assumptions!$D$33,INDEX($D$94:$D$111,O$4-MAX($B71,Assumptions!$D$32)+1),INDEX($C$94:$C$111,O$4-MAX($B71,Assumptions!$D$32)+1)))</f>
        <v>2.72752510407019</v>
      </c>
      <c r="P71" s="12" t="n">
        <f aca="false">IF(OR(P$4&lt;Assumptions!$D$32,P$4&lt;$B71),0,P49*IF(P$4&gt;=Assumptions!$D$33,INDEX($D$94:$D$111,P$4-MAX($B71,Assumptions!$D$32)+1),INDEX($C$94:$C$111,P$4-MAX($B71,Assumptions!$D$32)+1)))</f>
        <v>2.50932309574457</v>
      </c>
      <c r="Q71" s="12" t="n">
        <f aca="false">IF(OR(Q$4&lt;Assumptions!$D$32,Q$4&lt;$B71),0,Q49*IF(Q$4&gt;=Assumptions!$D$33,INDEX($D$94:$D$111,Q$4-MAX($B71,Assumptions!$D$32)+1),INDEX($C$94:$C$111,Q$4-MAX($B71,Assumptions!$D$32)+1)))</f>
        <v>2.30857724808501</v>
      </c>
      <c r="R71" s="12" t="n">
        <f aca="false">IF(OR(R$4&lt;Assumptions!$D$32,R$4&lt;$B71),0,R49*IF(R$4&gt;=Assumptions!$D$33,INDEX($D$94:$D$111,R$4-MAX($B71,Assumptions!$D$32)+1),INDEX($C$94:$C$111,R$4-MAX($B71,Assumptions!$D$32)+1)))</f>
        <v>2.12389106823821</v>
      </c>
      <c r="S71" s="12" t="n">
        <f aca="false">IF(OR(S$4&lt;Assumptions!$D$32,S$4&lt;$B71),0,S49*IF(S$4&gt;=Assumptions!$D$33,INDEX($D$94:$D$111,S$4-MAX($B71,Assumptions!$D$32)+1),INDEX($C$94:$C$111,S$4-MAX($B71,Assumptions!$D$32)+1)))</f>
        <v>1.95397978277915</v>
      </c>
      <c r="T71" s="12" t="n">
        <f aca="false">IF(OR(T$4&lt;Assumptions!$D$32,T$4&lt;$B71),0,T49*IF(T$4&gt;=Assumptions!$D$33,INDEX($D$94:$D$111,T$4-MAX($B71,Assumptions!$D$32)+1),INDEX($C$94:$C$111,T$4-MAX($B71,Assumptions!$D$32)+1)))</f>
        <v>1.79766140015682</v>
      </c>
      <c r="U71" s="12" t="n">
        <f aca="false">IF(OR(U$4&lt;Assumptions!$D$32,U$4&lt;$B71),0,U49*IF(U$4&gt;=Assumptions!$D$33,INDEX($D$94:$D$111,U$4-MAX($B71,Assumptions!$D$32)+1),INDEX($C$94:$C$111,U$4-MAX($B71,Assumptions!$D$32)+1)))</f>
        <v>1.65384848814427</v>
      </c>
    </row>
    <row r="72" customFormat="false" ht="15" hidden="false" customHeight="false" outlineLevel="0" collapsed="false">
      <c r="A72" s="2" t="s">
        <v>267</v>
      </c>
      <c r="B72" s="15" t="n">
        <v>2</v>
      </c>
      <c r="D72" s="12" t="n">
        <f aca="false">IF(OR(D$4&lt;Assumptions!$D$32,D$4&lt;$B72),0,D50*IF(D$4&gt;=Assumptions!$D$33,INDEX($D$94:$D$111,D$4-MAX($B72,Assumptions!$D$32)+1),INDEX($C$94:$C$111,D$4-MAX($B72,Assumptions!$D$32)+1)))</f>
        <v>0</v>
      </c>
      <c r="E72" s="12" t="n">
        <f aca="false">IF(OR(E$4&lt;Assumptions!$D$32,E$4&lt;$B72),0,E50*IF(E$4&gt;=Assumptions!$D$33,INDEX($D$94:$D$111,E$4-MAX($B72,Assumptions!$D$32)+1),INDEX($C$94:$C$111,E$4-MAX($B72,Assumptions!$D$32)+1)))</f>
        <v>0</v>
      </c>
      <c r="F72" s="12" t="n">
        <f aca="false">IF(OR(F$4&lt;Assumptions!$D$32,F$4&lt;$B72),0,F50*IF(F$4&gt;=Assumptions!$D$33,INDEX($D$94:$D$111,F$4-MAX($B72,Assumptions!$D$32)+1),INDEX($C$94:$C$111,F$4-MAX($B72,Assumptions!$D$32)+1)))</f>
        <v>0</v>
      </c>
      <c r="G72" s="12" t="n">
        <f aca="false">IF(OR(G$4&lt;Assumptions!$D$32,G$4&lt;$B72),0,G50*IF(G$4&gt;=Assumptions!$D$33,INDEX($D$94:$D$111,G$4-MAX($B72,Assumptions!$D$32)+1),INDEX($C$94:$C$111,G$4-MAX($B72,Assumptions!$D$32)+1)))</f>
        <v>1.547325</v>
      </c>
      <c r="H72" s="12" t="n">
        <f aca="false">IF(OR(H$4&lt;Assumptions!$D$32,H$4&lt;$B72),0,H50*IF(H$4&gt;=Assumptions!$D$33,INDEX($D$94:$D$111,H$4-MAX($B72,Assumptions!$D$32)+1),INDEX($C$94:$C$111,H$4-MAX($B72,Assumptions!$D$32)+1)))</f>
        <v>2.847078</v>
      </c>
      <c r="I72" s="12" t="n">
        <f aca="false">IF(OR(I$4&lt;Assumptions!$D$32,I$4&lt;$B72),0,I50*IF(I$4&gt;=Assumptions!$D$33,INDEX($D$94:$D$111,I$4-MAX($B72,Assumptions!$D$32)+1),INDEX($C$94:$C$111,I$4-MAX($B72,Assumptions!$D$32)+1)))</f>
        <v>3.92896764</v>
      </c>
      <c r="J72" s="12" t="n">
        <f aca="false">IF(OR(J$4&lt;Assumptions!$D$32,J$4&lt;$B72),0,J50*IF(J$4&gt;=Assumptions!$D$33,INDEX($D$94:$D$111,J$4-MAX($B72,Assumptions!$D$32)+1),INDEX($C$94:$C$111,J$4-MAX($B72,Assumptions!$D$32)+1)))</f>
        <v>6.024417048</v>
      </c>
      <c r="K72" s="12" t="n">
        <f aca="false">IF(OR(K$4&lt;Assumptions!$D$32,K$4&lt;$B72),0,K50*IF(K$4&gt;=Assumptions!$D$33,INDEX($D$94:$D$111,K$4-MAX($B72,Assumptions!$D$32)+1),INDEX($C$94:$C$111,K$4-MAX($B72,Assumptions!$D$32)+1)))</f>
        <v>5.7641622315264</v>
      </c>
      <c r="L72" s="12" t="n">
        <f aca="false">IF(OR(L$4&lt;Assumptions!$D$32,L$4&lt;$B72),0,L50*IF(L$4&gt;=Assumptions!$D$33,INDEX($D$94:$D$111,L$4-MAX($B72,Assumptions!$D$32)+1),INDEX($C$94:$C$111,L$4-MAX($B72,Assumptions!$D$32)+1)))</f>
        <v>5.30302925300429</v>
      </c>
      <c r="M72" s="12" t="n">
        <f aca="false">IF(OR(M$4&lt;Assumptions!$D$32,M$4&lt;$B72),0,M50*IF(M$4&gt;=Assumptions!$D$33,INDEX($D$94:$D$111,M$4-MAX($B72,Assumptions!$D$32)+1),INDEX($C$94:$C$111,M$4-MAX($B72,Assumptions!$D$32)+1)))</f>
        <v>4.87878691276395</v>
      </c>
      <c r="N72" s="12" t="n">
        <f aca="false">IF(OR(N$4&lt;Assumptions!$D$32,N$4&lt;$B72),0,N50*IF(N$4&gt;=Assumptions!$D$33,INDEX($D$94:$D$111,N$4-MAX($B72,Assumptions!$D$32)+1),INDEX($C$94:$C$111,N$4-MAX($B72,Assumptions!$D$32)+1)))</f>
        <v>4.83375195664613</v>
      </c>
      <c r="O72" s="12" t="n">
        <f aca="false">IF(OR(O$4&lt;Assumptions!$D$32,O$4&lt;$B72),0,O50*IF(O$4&gt;=Assumptions!$D$33,INDEX($D$94:$D$111,O$4-MAX($B72,Assumptions!$D$32)+1),INDEX($C$94:$C$111,O$4-MAX($B72,Assumptions!$D$32)+1)))</f>
        <v>4.44705180011444</v>
      </c>
      <c r="P72" s="12" t="n">
        <f aca="false">IF(OR(P$4&lt;Assumptions!$D$32,P$4&lt;$B72),0,P50*IF(P$4&gt;=Assumptions!$D$33,INDEX($D$94:$D$111,P$4-MAX($B72,Assumptions!$D$32)+1),INDEX($C$94:$C$111,P$4-MAX($B72,Assumptions!$D$32)+1)))</f>
        <v>4.09128765610528</v>
      </c>
      <c r="Q72" s="12" t="n">
        <f aca="false">IF(OR(Q$4&lt;Assumptions!$D$32,Q$4&lt;$B72),0,Q50*IF(Q$4&gt;=Assumptions!$D$33,INDEX($D$94:$D$111,Q$4-MAX($B72,Assumptions!$D$32)+1),INDEX($C$94:$C$111,Q$4-MAX($B72,Assumptions!$D$32)+1)))</f>
        <v>3.76398464361686</v>
      </c>
      <c r="R72" s="12" t="n">
        <f aca="false">IF(OR(R$4&lt;Assumptions!$D$32,R$4&lt;$B72),0,R50*IF(R$4&gt;=Assumptions!$D$33,INDEX($D$94:$D$111,R$4-MAX($B72,Assumptions!$D$32)+1),INDEX($C$94:$C$111,R$4-MAX($B72,Assumptions!$D$32)+1)))</f>
        <v>3.46286587212751</v>
      </c>
      <c r="S72" s="12" t="n">
        <f aca="false">IF(OR(S$4&lt;Assumptions!$D$32,S$4&lt;$B72),0,S50*IF(S$4&gt;=Assumptions!$D$33,INDEX($D$94:$D$111,S$4-MAX($B72,Assumptions!$D$32)+1),INDEX($C$94:$C$111,S$4-MAX($B72,Assumptions!$D$32)+1)))</f>
        <v>3.18583660235731</v>
      </c>
      <c r="T72" s="12" t="n">
        <f aca="false">IF(OR(T$4&lt;Assumptions!$D$32,T$4&lt;$B72),0,T50*IF(T$4&gt;=Assumptions!$D$33,INDEX($D$94:$D$111,T$4-MAX($B72,Assumptions!$D$32)+1),INDEX($C$94:$C$111,T$4-MAX($B72,Assumptions!$D$32)+1)))</f>
        <v>2.93096967416873</v>
      </c>
      <c r="U72" s="12" t="n">
        <f aca="false">IF(OR(U$4&lt;Assumptions!$D$32,U$4&lt;$B72),0,U50*IF(U$4&gt;=Assumptions!$D$33,INDEX($D$94:$D$111,U$4-MAX($B72,Assumptions!$D$32)+1),INDEX($C$94:$C$111,U$4-MAX($B72,Assumptions!$D$32)+1)))</f>
        <v>2.69649210023523</v>
      </c>
    </row>
    <row r="73" customFormat="false" ht="15" hidden="false" customHeight="false" outlineLevel="0" collapsed="false">
      <c r="A73" s="2" t="s">
        <v>268</v>
      </c>
      <c r="B73" s="15" t="n">
        <v>3</v>
      </c>
      <c r="D73" s="12" t="n">
        <f aca="false">IF(OR(D$4&lt;Assumptions!$D$32,D$4&lt;$B73),0,D51*IF(D$4&gt;=Assumptions!$D$33,INDEX($D$94:$D$111,D$4-MAX($B73,Assumptions!$D$32)+1),INDEX($C$94:$C$111,D$4-MAX($B73,Assumptions!$D$32)+1)))</f>
        <v>0</v>
      </c>
      <c r="E73" s="12" t="n">
        <f aca="false">IF(OR(E$4&lt;Assumptions!$D$32,E$4&lt;$B73),0,E51*IF(E$4&gt;=Assumptions!$D$33,INDEX($D$94:$D$111,E$4-MAX($B73,Assumptions!$D$32)+1),INDEX($C$94:$C$111,E$4-MAX($B73,Assumptions!$D$32)+1)))</f>
        <v>0</v>
      </c>
      <c r="F73" s="12" t="n">
        <f aca="false">IF(OR(F$4&lt;Assumptions!$D$32,F$4&lt;$B73),0,F51*IF(F$4&gt;=Assumptions!$D$33,INDEX($D$94:$D$111,F$4-MAX($B73,Assumptions!$D$32)+1),INDEX($C$94:$C$111,F$4-MAX($B73,Assumptions!$D$32)+1)))</f>
        <v>0</v>
      </c>
      <c r="G73" s="12" t="n">
        <f aca="false">IF(OR(G$4&lt;Assumptions!$D$32,G$4&lt;$B73),0,G51*IF(G$4&gt;=Assumptions!$D$33,INDEX($D$94:$D$111,G$4-MAX($B73,Assumptions!$D$32)+1),INDEX($C$94:$C$111,G$4-MAX($B73,Assumptions!$D$32)+1)))</f>
        <v>2.2425</v>
      </c>
      <c r="H73" s="12" t="n">
        <f aca="false">IF(OR(H$4&lt;Assumptions!$D$32,H$4&lt;$B73),0,H51*IF(H$4&gt;=Assumptions!$D$33,INDEX($D$94:$D$111,H$4-MAX($B73,Assumptions!$D$32)+1),INDEX($C$94:$C$111,H$4-MAX($B73,Assumptions!$D$32)+1)))</f>
        <v>4.1262</v>
      </c>
      <c r="I73" s="12" t="n">
        <f aca="false">IF(OR(I$4&lt;Assumptions!$D$32,I$4&lt;$B73),0,I51*IF(I$4&gt;=Assumptions!$D$33,INDEX($D$94:$D$111,I$4-MAX($B73,Assumptions!$D$32)+1),INDEX($C$94:$C$111,I$4-MAX($B73,Assumptions!$D$32)+1)))</f>
        <v>5.694156</v>
      </c>
      <c r="J73" s="12" t="n">
        <f aca="false">IF(OR(J$4&lt;Assumptions!$D$32,J$4&lt;$B73),0,J51*IF(J$4&gt;=Assumptions!$D$33,INDEX($D$94:$D$111,J$4-MAX($B73,Assumptions!$D$32)+1),INDEX($C$94:$C$111,J$4-MAX($B73,Assumptions!$D$32)+1)))</f>
        <v>8.7310392</v>
      </c>
      <c r="K73" s="12" t="n">
        <f aca="false">IF(OR(K$4&lt;Assumptions!$D$32,K$4&lt;$B73),0,K51*IF(K$4&gt;=Assumptions!$D$33,INDEX($D$94:$D$111,K$4-MAX($B73,Assumptions!$D$32)+1),INDEX($C$94:$C$111,K$4-MAX($B73,Assumptions!$D$32)+1)))</f>
        <v>8.35385830656</v>
      </c>
      <c r="L73" s="12" t="n">
        <f aca="false">IF(OR(L$4&lt;Assumptions!$D$32,L$4&lt;$B73),0,L51*IF(L$4&gt;=Assumptions!$D$33,INDEX($D$94:$D$111,L$4-MAX($B73,Assumptions!$D$32)+1),INDEX($C$94:$C$111,L$4-MAX($B73,Assumptions!$D$32)+1)))</f>
        <v>7.6855496420352</v>
      </c>
      <c r="M73" s="12" t="n">
        <f aca="false">IF(OR(M$4&lt;Assumptions!$D$32,M$4&lt;$B73),0,M51*IF(M$4&gt;=Assumptions!$D$33,INDEX($D$94:$D$111,M$4-MAX($B73,Assumptions!$D$32)+1),INDEX($C$94:$C$111,M$4-MAX($B73,Assumptions!$D$32)+1)))</f>
        <v>7.07070567067239</v>
      </c>
      <c r="N73" s="12" t="n">
        <f aca="false">IF(OR(N$4&lt;Assumptions!$D$32,N$4&lt;$B73),0,N51*IF(N$4&gt;=Assumptions!$D$33,INDEX($D$94:$D$111,N$4-MAX($B73,Assumptions!$D$32)+1),INDEX($C$94:$C$111,N$4-MAX($B73,Assumptions!$D$32)+1)))</f>
        <v>7.00543761832772</v>
      </c>
      <c r="O73" s="12" t="n">
        <f aca="false">IF(OR(O$4&lt;Assumptions!$D$32,O$4&lt;$B73),0,O51*IF(O$4&gt;=Assumptions!$D$33,INDEX($D$94:$D$111,O$4-MAX($B73,Assumptions!$D$32)+1),INDEX($C$94:$C$111,O$4-MAX($B73,Assumptions!$D$32)+1)))</f>
        <v>6.4450026088615</v>
      </c>
      <c r="P73" s="12" t="n">
        <f aca="false">IF(OR(P$4&lt;Assumptions!$D$32,P$4&lt;$B73),0,P51*IF(P$4&gt;=Assumptions!$D$33,INDEX($D$94:$D$111,P$4-MAX($B73,Assumptions!$D$32)+1),INDEX($C$94:$C$111,P$4-MAX($B73,Assumptions!$D$32)+1)))</f>
        <v>5.92940240015258</v>
      </c>
      <c r="Q73" s="12" t="n">
        <f aca="false">IF(OR(Q$4&lt;Assumptions!$D$32,Q$4&lt;$B73),0,Q51*IF(Q$4&gt;=Assumptions!$D$33,INDEX($D$94:$D$111,Q$4-MAX($B73,Assumptions!$D$32)+1),INDEX($C$94:$C$111,Q$4-MAX($B73,Assumptions!$D$32)+1)))</f>
        <v>5.45505020814038</v>
      </c>
      <c r="R73" s="12" t="n">
        <f aca="false">IF(OR(R$4&lt;Assumptions!$D$32,R$4&lt;$B73),0,R51*IF(R$4&gt;=Assumptions!$D$33,INDEX($D$94:$D$111,R$4-MAX($B73,Assumptions!$D$32)+1),INDEX($C$94:$C$111,R$4-MAX($B73,Assumptions!$D$32)+1)))</f>
        <v>5.01864619148915</v>
      </c>
      <c r="S73" s="12" t="n">
        <f aca="false">IF(OR(S$4&lt;Assumptions!$D$32,S$4&lt;$B73),0,S51*IF(S$4&gt;=Assumptions!$D$33,INDEX($D$94:$D$111,S$4-MAX($B73,Assumptions!$D$32)+1),INDEX($C$94:$C$111,S$4-MAX($B73,Assumptions!$D$32)+1)))</f>
        <v>4.61715449617002</v>
      </c>
      <c r="T73" s="12" t="n">
        <f aca="false">IF(OR(T$4&lt;Assumptions!$D$32,T$4&lt;$B73),0,T51*IF(T$4&gt;=Assumptions!$D$33,INDEX($D$94:$D$111,T$4-MAX($B73,Assumptions!$D$32)+1),INDEX($C$94:$C$111,T$4-MAX($B73,Assumptions!$D$32)+1)))</f>
        <v>4.24778213647641</v>
      </c>
      <c r="U73" s="12" t="n">
        <f aca="false">IF(OR(U$4&lt;Assumptions!$D$32,U$4&lt;$B73),0,U51*IF(U$4&gt;=Assumptions!$D$33,INDEX($D$94:$D$111,U$4-MAX($B73,Assumptions!$D$32)+1),INDEX($C$94:$C$111,U$4-MAX($B73,Assumptions!$D$32)+1)))</f>
        <v>3.9079595655583</v>
      </c>
    </row>
    <row r="74" customFormat="false" ht="15" hidden="false" customHeight="false" outlineLevel="0" collapsed="false">
      <c r="A74" s="2" t="s">
        <v>269</v>
      </c>
      <c r="B74" s="15" t="n">
        <v>4</v>
      </c>
      <c r="D74" s="12" t="n">
        <f aca="false">IF(OR(D$4&lt;Assumptions!$D$32,D$4&lt;$B74),0,D52*IF(D$4&gt;=Assumptions!$D$33,INDEX($D$94:$D$111,D$4-MAX($B74,Assumptions!$D$32)+1),INDEX($C$94:$C$111,D$4-MAX($B74,Assumptions!$D$32)+1)))</f>
        <v>0</v>
      </c>
      <c r="E74" s="12" t="n">
        <f aca="false">IF(OR(E$4&lt;Assumptions!$D$32,E$4&lt;$B74),0,E52*IF(E$4&gt;=Assumptions!$D$33,INDEX($D$94:$D$111,E$4-MAX($B74,Assumptions!$D$32)+1),INDEX($C$94:$C$111,E$4-MAX($B74,Assumptions!$D$32)+1)))</f>
        <v>0</v>
      </c>
      <c r="F74" s="12" t="n">
        <f aca="false">IF(OR(F$4&lt;Assumptions!$D$32,F$4&lt;$B74),0,F52*IF(F$4&gt;=Assumptions!$D$33,INDEX($D$94:$D$111,F$4-MAX($B74,Assumptions!$D$32)+1),INDEX($C$94:$C$111,F$4-MAX($B74,Assumptions!$D$32)+1)))</f>
        <v>0</v>
      </c>
      <c r="G74" s="12" t="n">
        <f aca="false">IF(OR(G$4&lt;Assumptions!$D$32,G$4&lt;$B74),0,G52*IF(G$4&gt;=Assumptions!$D$33,INDEX($D$94:$D$111,G$4-MAX($B74,Assumptions!$D$32)+1),INDEX($C$94:$C$111,G$4-MAX($B74,Assumptions!$D$32)+1)))</f>
        <v>3.046875</v>
      </c>
      <c r="H74" s="12" t="n">
        <f aca="false">IF(OR(H$4&lt;Assumptions!$D$32,H$4&lt;$B74),0,H52*IF(H$4&gt;=Assumptions!$D$33,INDEX($D$94:$D$111,H$4-MAX($B74,Assumptions!$D$32)+1),INDEX($C$94:$C$111,H$4-MAX($B74,Assumptions!$D$32)+1)))</f>
        <v>5.60625</v>
      </c>
      <c r="I74" s="12" t="n">
        <f aca="false">IF(OR(I$4&lt;Assumptions!$D$32,I$4&lt;$B74),0,I52*IF(I$4&gt;=Assumptions!$D$33,INDEX($D$94:$D$111,I$4-MAX($B74,Assumptions!$D$32)+1),INDEX($C$94:$C$111,I$4-MAX($B74,Assumptions!$D$32)+1)))</f>
        <v>7.736625</v>
      </c>
      <c r="J74" s="12" t="n">
        <f aca="false">IF(OR(J$4&lt;Assumptions!$D$32,J$4&lt;$B74),0,J52*IF(J$4&gt;=Assumptions!$D$33,INDEX($D$94:$D$111,J$4-MAX($B74,Assumptions!$D$32)+1),INDEX($C$94:$C$111,J$4-MAX($B74,Assumptions!$D$32)+1)))</f>
        <v>11.862825</v>
      </c>
      <c r="K74" s="12" t="n">
        <f aca="false">IF(OR(K$4&lt;Assumptions!$D$32,K$4&lt;$B74),0,K52*IF(K$4&gt;=Assumptions!$D$33,INDEX($D$94:$D$111,K$4-MAX($B74,Assumptions!$D$32)+1),INDEX($C$94:$C$111,K$4-MAX($B74,Assumptions!$D$32)+1)))</f>
        <v>11.35035096</v>
      </c>
      <c r="L74" s="12" t="n">
        <f aca="false">IF(OR(L$4&lt;Assumptions!$D$32,L$4&lt;$B74),0,L52*IF(L$4&gt;=Assumptions!$D$33,INDEX($D$94:$D$111,L$4-MAX($B74,Assumptions!$D$32)+1),INDEX($C$94:$C$111,L$4-MAX($B74,Assumptions!$D$32)+1)))</f>
        <v>10.4423228832</v>
      </c>
      <c r="M74" s="12" t="n">
        <f aca="false">IF(OR(M$4&lt;Assumptions!$D$32,M$4&lt;$B74),0,M52*IF(M$4&gt;=Assumptions!$D$33,INDEX($D$94:$D$111,M$4-MAX($B74,Assumptions!$D$32)+1),INDEX($C$94:$C$111,M$4-MAX($B74,Assumptions!$D$32)+1)))</f>
        <v>9.606937052544</v>
      </c>
      <c r="N74" s="12" t="n">
        <f aca="false">IF(OR(N$4&lt;Assumptions!$D$32,N$4&lt;$B74),0,N52*IF(N$4&gt;=Assumptions!$D$33,INDEX($D$94:$D$111,N$4-MAX($B74,Assumptions!$D$32)+1),INDEX($C$94:$C$111,N$4-MAX($B74,Assumptions!$D$32)+1)))</f>
        <v>9.51825763359745</v>
      </c>
      <c r="O74" s="12" t="n">
        <f aca="false">IF(OR(O$4&lt;Assumptions!$D$32,O$4&lt;$B74),0,O52*IF(O$4&gt;=Assumptions!$D$33,INDEX($D$94:$D$111,O$4-MAX($B74,Assumptions!$D$32)+1),INDEX($C$94:$C$111,O$4-MAX($B74,Assumptions!$D$32)+1)))</f>
        <v>8.75679702290965</v>
      </c>
      <c r="P74" s="12" t="n">
        <f aca="false">IF(OR(P$4&lt;Assumptions!$D$32,P$4&lt;$B74),0,P52*IF(P$4&gt;=Assumptions!$D$33,INDEX($D$94:$D$111,P$4-MAX($B74,Assumptions!$D$32)+1),INDEX($C$94:$C$111,P$4-MAX($B74,Assumptions!$D$32)+1)))</f>
        <v>8.05625326107688</v>
      </c>
      <c r="Q74" s="12" t="n">
        <f aca="false">IF(OR(Q$4&lt;Assumptions!$D$32,Q$4&lt;$B74),0,Q52*IF(Q$4&gt;=Assumptions!$D$33,INDEX($D$94:$D$111,Q$4-MAX($B74,Assumptions!$D$32)+1),INDEX($C$94:$C$111,Q$4-MAX($B74,Assumptions!$D$32)+1)))</f>
        <v>7.41175300019073</v>
      </c>
      <c r="R74" s="12" t="n">
        <f aca="false">IF(OR(R$4&lt;Assumptions!$D$32,R$4&lt;$B74),0,R52*IF(R$4&gt;=Assumptions!$D$33,INDEX($D$94:$D$111,R$4-MAX($B74,Assumptions!$D$32)+1),INDEX($C$94:$C$111,R$4-MAX($B74,Assumptions!$D$32)+1)))</f>
        <v>6.81881276017547</v>
      </c>
      <c r="S74" s="12" t="n">
        <f aca="false">IF(OR(S$4&lt;Assumptions!$D$32,S$4&lt;$B74),0,S52*IF(S$4&gt;=Assumptions!$D$33,INDEX($D$94:$D$111,S$4-MAX($B74,Assumptions!$D$32)+1),INDEX($C$94:$C$111,S$4-MAX($B74,Assumptions!$D$32)+1)))</f>
        <v>6.27330773936143</v>
      </c>
      <c r="T74" s="12" t="n">
        <f aca="false">IF(OR(T$4&lt;Assumptions!$D$32,T$4&lt;$B74),0,T52*IF(T$4&gt;=Assumptions!$D$33,INDEX($D$94:$D$111,T$4-MAX($B74,Assumptions!$D$32)+1),INDEX($C$94:$C$111,T$4-MAX($B74,Assumptions!$D$32)+1)))</f>
        <v>5.77144312021252</v>
      </c>
      <c r="U74" s="12" t="n">
        <f aca="false">IF(OR(U$4&lt;Assumptions!$D$32,U$4&lt;$B74),0,U52*IF(U$4&gt;=Assumptions!$D$33,INDEX($D$94:$D$111,U$4-MAX($B74,Assumptions!$D$32)+1),INDEX($C$94:$C$111,U$4-MAX($B74,Assumptions!$D$32)+1)))</f>
        <v>5.30972767059552</v>
      </c>
    </row>
    <row r="75" customFormat="false" ht="15" hidden="false" customHeight="false" outlineLevel="0" collapsed="false">
      <c r="A75" s="2" t="s">
        <v>270</v>
      </c>
      <c r="B75" s="15" t="n">
        <v>5</v>
      </c>
      <c r="D75" s="12" t="n">
        <f aca="false">IF(OR(D$4&lt;Assumptions!$D$32,D$4&lt;$B75),0,D53*IF(D$4&gt;=Assumptions!$D$33,INDEX($D$94:$D$111,D$4-MAX($B75,Assumptions!$D$32)+1),INDEX($C$94:$C$111,D$4-MAX($B75,Assumptions!$D$32)+1)))</f>
        <v>0</v>
      </c>
      <c r="E75" s="12" t="n">
        <f aca="false">IF(OR(E$4&lt;Assumptions!$D$32,E$4&lt;$B75),0,E53*IF(E$4&gt;=Assumptions!$D$33,INDEX($D$94:$D$111,E$4-MAX($B75,Assumptions!$D$32)+1),INDEX($C$94:$C$111,E$4-MAX($B75,Assumptions!$D$32)+1)))</f>
        <v>0</v>
      </c>
      <c r="F75" s="12" t="n">
        <f aca="false">IF(OR(F$4&lt;Assumptions!$D$32,F$4&lt;$B75),0,F53*IF(F$4&gt;=Assumptions!$D$33,INDEX($D$94:$D$111,F$4-MAX($B75,Assumptions!$D$32)+1),INDEX($C$94:$C$111,F$4-MAX($B75,Assumptions!$D$32)+1)))</f>
        <v>0</v>
      </c>
      <c r="G75" s="12" t="n">
        <f aca="false">IF(OR(G$4&lt;Assumptions!$D$32,G$4&lt;$B75),0,G53*IF(G$4&gt;=Assumptions!$D$33,INDEX($D$94:$D$111,G$4-MAX($B75,Assumptions!$D$32)+1),INDEX($C$94:$C$111,G$4-MAX($B75,Assumptions!$D$32)+1)))</f>
        <v>0</v>
      </c>
      <c r="H75" s="12" t="n">
        <f aca="false">IF(OR(H$4&lt;Assumptions!$D$32,H$4&lt;$B75),0,H53*IF(H$4&gt;=Assumptions!$D$33,INDEX($D$94:$D$111,H$4-MAX($B75,Assumptions!$D$32)+1),INDEX($C$94:$C$111,H$4-MAX($B75,Assumptions!$D$32)+1)))</f>
        <v>3.65625</v>
      </c>
      <c r="I75" s="12" t="n">
        <f aca="false">IF(OR(I$4&lt;Assumptions!$D$32,I$4&lt;$B75),0,I53*IF(I$4&gt;=Assumptions!$D$33,INDEX($D$94:$D$111,I$4-MAX($B75,Assumptions!$D$32)+1),INDEX($C$94:$C$111,I$4-MAX($B75,Assumptions!$D$32)+1)))</f>
        <v>6.7275</v>
      </c>
      <c r="J75" s="12" t="n">
        <f aca="false">IF(OR(J$4&lt;Assumptions!$D$32,J$4&lt;$B75),0,J53*IF(J$4&gt;=Assumptions!$D$33,INDEX($D$94:$D$111,J$4-MAX($B75,Assumptions!$D$32)+1),INDEX($C$94:$C$111,J$4-MAX($B75,Assumptions!$D$32)+1)))</f>
        <v>9.28395</v>
      </c>
      <c r="K75" s="12" t="n">
        <f aca="false">IF(OR(K$4&lt;Assumptions!$D$32,K$4&lt;$B75),0,K53*IF(K$4&gt;=Assumptions!$D$33,INDEX($D$94:$D$111,K$4-MAX($B75,Assumptions!$D$32)+1),INDEX($C$94:$C$111,K$4-MAX($B75,Assumptions!$D$32)+1)))</f>
        <v>14.23539</v>
      </c>
      <c r="L75" s="12" t="n">
        <f aca="false">IF(OR(L$4&lt;Assumptions!$D$32,L$4&lt;$B75),0,L53*IF(L$4&gt;=Assumptions!$D$33,INDEX($D$94:$D$111,L$4-MAX($B75,Assumptions!$D$32)+1),INDEX($C$94:$C$111,L$4-MAX($B75,Assumptions!$D$32)+1)))</f>
        <v>13.620421152</v>
      </c>
      <c r="M75" s="12" t="n">
        <f aca="false">IF(OR(M$4&lt;Assumptions!$D$32,M$4&lt;$B75),0,M53*IF(M$4&gt;=Assumptions!$D$33,INDEX($D$94:$D$111,M$4-MAX($B75,Assumptions!$D$32)+1),INDEX($C$94:$C$111,M$4-MAX($B75,Assumptions!$D$32)+1)))</f>
        <v>12.53078745984</v>
      </c>
      <c r="N75" s="12" t="n">
        <f aca="false">IF(OR(N$4&lt;Assumptions!$D$32,N$4&lt;$B75),0,N53*IF(N$4&gt;=Assumptions!$D$33,INDEX($D$94:$D$111,N$4-MAX($B75,Assumptions!$D$32)+1),INDEX($C$94:$C$111,N$4-MAX($B75,Assumptions!$D$32)+1)))</f>
        <v>11.5283244630528</v>
      </c>
      <c r="O75" s="12" t="n">
        <f aca="false">IF(OR(O$4&lt;Assumptions!$D$32,O$4&lt;$B75),0,O53*IF(O$4&gt;=Assumptions!$D$33,INDEX($D$94:$D$111,O$4-MAX($B75,Assumptions!$D$32)+1),INDEX($C$94:$C$111,O$4-MAX($B75,Assumptions!$D$32)+1)))</f>
        <v>11.4219091603169</v>
      </c>
      <c r="P75" s="12" t="n">
        <f aca="false">IF(OR(P$4&lt;Assumptions!$D$32,P$4&lt;$B75),0,P53*IF(P$4&gt;=Assumptions!$D$33,INDEX($D$94:$D$111,P$4-MAX($B75,Assumptions!$D$32)+1),INDEX($C$94:$C$111,P$4-MAX($B75,Assumptions!$D$32)+1)))</f>
        <v>10.5081564274916</v>
      </c>
      <c r="Q75" s="12" t="n">
        <f aca="false">IF(OR(Q$4&lt;Assumptions!$D$32,Q$4&lt;$B75),0,Q53*IF(Q$4&gt;=Assumptions!$D$33,INDEX($D$94:$D$111,Q$4-MAX($B75,Assumptions!$D$32)+1),INDEX($C$94:$C$111,Q$4-MAX($B75,Assumptions!$D$32)+1)))</f>
        <v>9.66750391329225</v>
      </c>
      <c r="R75" s="12" t="n">
        <f aca="false">IF(OR(R$4&lt;Assumptions!$D$32,R$4&lt;$B75),0,R53*IF(R$4&gt;=Assumptions!$D$33,INDEX($D$94:$D$111,R$4-MAX($B75,Assumptions!$D$32)+1),INDEX($C$94:$C$111,R$4-MAX($B75,Assumptions!$D$32)+1)))</f>
        <v>8.89410360022887</v>
      </c>
      <c r="S75" s="12" t="n">
        <f aca="false">IF(OR(S$4&lt;Assumptions!$D$32,S$4&lt;$B75),0,S53*IF(S$4&gt;=Assumptions!$D$33,INDEX($D$94:$D$111,S$4-MAX($B75,Assumptions!$D$32)+1),INDEX($C$94:$C$111,S$4-MAX($B75,Assumptions!$D$32)+1)))</f>
        <v>8.18257531221056</v>
      </c>
      <c r="T75" s="12" t="n">
        <f aca="false">IF(OR(T$4&lt;Assumptions!$D$32,T$4&lt;$B75),0,T53*IF(T$4&gt;=Assumptions!$D$33,INDEX($D$94:$D$111,T$4-MAX($B75,Assumptions!$D$32)+1),INDEX($C$94:$C$111,T$4-MAX($B75,Assumptions!$D$32)+1)))</f>
        <v>7.52796928723372</v>
      </c>
      <c r="U75" s="12" t="n">
        <f aca="false">IF(OR(U$4&lt;Assumptions!$D$32,U$4&lt;$B75),0,U53*IF(U$4&gt;=Assumptions!$D$33,INDEX($D$94:$D$111,U$4-MAX($B75,Assumptions!$D$32)+1),INDEX($C$94:$C$111,U$4-MAX($B75,Assumptions!$D$32)+1)))</f>
        <v>6.92573174425502</v>
      </c>
    </row>
    <row r="76" customFormat="false" ht="15" hidden="false" customHeight="false" outlineLevel="0" collapsed="false">
      <c r="A76" s="2" t="s">
        <v>271</v>
      </c>
      <c r="B76" s="15" t="n">
        <v>6</v>
      </c>
      <c r="D76" s="12" t="n">
        <f aca="false">IF(OR(D$4&lt;Assumptions!$D$32,D$4&lt;$B76),0,D54*IF(D$4&gt;=Assumptions!$D$33,INDEX($D$94:$D$111,D$4-MAX($B76,Assumptions!$D$32)+1),INDEX($C$94:$C$111,D$4-MAX($B76,Assumptions!$D$32)+1)))</f>
        <v>0</v>
      </c>
      <c r="E76" s="12" t="n">
        <f aca="false">IF(OR(E$4&lt;Assumptions!$D$32,E$4&lt;$B76),0,E54*IF(E$4&gt;=Assumptions!$D$33,INDEX($D$94:$D$111,E$4-MAX($B76,Assumptions!$D$32)+1),INDEX($C$94:$C$111,E$4-MAX($B76,Assumptions!$D$32)+1)))</f>
        <v>0</v>
      </c>
      <c r="F76" s="12" t="n">
        <f aca="false">IF(OR(F$4&lt;Assumptions!$D$32,F$4&lt;$B76),0,F54*IF(F$4&gt;=Assumptions!$D$33,INDEX($D$94:$D$111,F$4-MAX($B76,Assumptions!$D$32)+1),INDEX($C$94:$C$111,F$4-MAX($B76,Assumptions!$D$32)+1)))</f>
        <v>0</v>
      </c>
      <c r="G76" s="12" t="n">
        <f aca="false">IF(OR(G$4&lt;Assumptions!$D$32,G$4&lt;$B76),0,G54*IF(G$4&gt;=Assumptions!$D$33,INDEX($D$94:$D$111,G$4-MAX($B76,Assumptions!$D$32)+1),INDEX($C$94:$C$111,G$4-MAX($B76,Assumptions!$D$32)+1)))</f>
        <v>0</v>
      </c>
      <c r="H76" s="12" t="n">
        <f aca="false">IF(OR(H$4&lt;Assumptions!$D$32,H$4&lt;$B76),0,H54*IF(H$4&gt;=Assumptions!$D$33,INDEX($D$94:$D$111,H$4-MAX($B76,Assumptions!$D$32)+1),INDEX($C$94:$C$111,H$4-MAX($B76,Assumptions!$D$32)+1)))</f>
        <v>0</v>
      </c>
      <c r="I76" s="12" t="n">
        <f aca="false">IF(OR(I$4&lt;Assumptions!$D$32,I$4&lt;$B76),0,I54*IF(I$4&gt;=Assumptions!$D$33,INDEX($D$94:$D$111,I$4-MAX($B76,Assumptions!$D$32)+1),INDEX($C$94:$C$111,I$4-MAX($B76,Assumptions!$D$32)+1)))</f>
        <v>4.265625</v>
      </c>
      <c r="J76" s="12" t="n">
        <f aca="false">IF(OR(J$4&lt;Assumptions!$D$32,J$4&lt;$B76),0,J54*IF(J$4&gt;=Assumptions!$D$33,INDEX($D$94:$D$111,J$4-MAX($B76,Assumptions!$D$32)+1),INDEX($C$94:$C$111,J$4-MAX($B76,Assumptions!$D$32)+1)))</f>
        <v>7.84875</v>
      </c>
      <c r="K76" s="12" t="n">
        <f aca="false">IF(OR(K$4&lt;Assumptions!$D$32,K$4&lt;$B76),0,K54*IF(K$4&gt;=Assumptions!$D$33,INDEX($D$94:$D$111,K$4-MAX($B76,Assumptions!$D$32)+1),INDEX($C$94:$C$111,K$4-MAX($B76,Assumptions!$D$32)+1)))</f>
        <v>10.831275</v>
      </c>
      <c r="L76" s="12" t="n">
        <f aca="false">IF(OR(L$4&lt;Assumptions!$D$32,L$4&lt;$B76),0,L54*IF(L$4&gt;=Assumptions!$D$33,INDEX($D$94:$D$111,L$4-MAX($B76,Assumptions!$D$32)+1),INDEX($C$94:$C$111,L$4-MAX($B76,Assumptions!$D$32)+1)))</f>
        <v>16.607955</v>
      </c>
      <c r="M76" s="12" t="n">
        <f aca="false">IF(OR(M$4&lt;Assumptions!$D$32,M$4&lt;$B76),0,M54*IF(M$4&gt;=Assumptions!$D$33,INDEX($D$94:$D$111,M$4-MAX($B76,Assumptions!$D$32)+1),INDEX($C$94:$C$111,M$4-MAX($B76,Assumptions!$D$32)+1)))</f>
        <v>15.890491344</v>
      </c>
      <c r="N76" s="12" t="n">
        <f aca="false">IF(OR(N$4&lt;Assumptions!$D$32,N$4&lt;$B76),0,N54*IF(N$4&gt;=Assumptions!$D$33,INDEX($D$94:$D$111,N$4-MAX($B76,Assumptions!$D$32)+1),INDEX($C$94:$C$111,N$4-MAX($B76,Assumptions!$D$32)+1)))</f>
        <v>14.61925203648</v>
      </c>
      <c r="O76" s="12" t="n">
        <f aca="false">IF(OR(O$4&lt;Assumptions!$D$32,O$4&lt;$B76),0,O54*IF(O$4&gt;=Assumptions!$D$33,INDEX($D$94:$D$111,O$4-MAX($B76,Assumptions!$D$32)+1),INDEX($C$94:$C$111,O$4-MAX($B76,Assumptions!$D$32)+1)))</f>
        <v>13.4497118735616</v>
      </c>
      <c r="P76" s="12" t="n">
        <f aca="false">IF(OR(P$4&lt;Assumptions!$D$32,P$4&lt;$B76),0,P54*IF(P$4&gt;=Assumptions!$D$33,INDEX($D$94:$D$111,P$4-MAX($B76,Assumptions!$D$32)+1),INDEX($C$94:$C$111,P$4-MAX($B76,Assumptions!$D$32)+1)))</f>
        <v>13.3255606870364</v>
      </c>
      <c r="Q76" s="12" t="n">
        <f aca="false">IF(OR(Q$4&lt;Assumptions!$D$32,Q$4&lt;$B76),0,Q54*IF(Q$4&gt;=Assumptions!$D$33,INDEX($D$94:$D$111,Q$4-MAX($B76,Assumptions!$D$32)+1),INDEX($C$94:$C$111,Q$4-MAX($B76,Assumptions!$D$32)+1)))</f>
        <v>12.2595158320735</v>
      </c>
      <c r="R76" s="12" t="n">
        <f aca="false">IF(OR(R$4&lt;Assumptions!$D$32,R$4&lt;$B76),0,R54*IF(R$4&gt;=Assumptions!$D$33,INDEX($D$94:$D$111,R$4-MAX($B76,Assumptions!$D$32)+1),INDEX($C$94:$C$111,R$4-MAX($B76,Assumptions!$D$32)+1)))</f>
        <v>11.2787545655076</v>
      </c>
      <c r="S76" s="12" t="n">
        <f aca="false">IF(OR(S$4&lt;Assumptions!$D$32,S$4&lt;$B76),0,S54*IF(S$4&gt;=Assumptions!$D$33,INDEX($D$94:$D$111,S$4-MAX($B76,Assumptions!$D$32)+1),INDEX($C$94:$C$111,S$4-MAX($B76,Assumptions!$D$32)+1)))</f>
        <v>10.376454200267</v>
      </c>
      <c r="T76" s="12" t="n">
        <f aca="false">IF(OR(T$4&lt;Assumptions!$D$32,T$4&lt;$B76),0,T54*IF(T$4&gt;=Assumptions!$D$33,INDEX($D$94:$D$111,T$4-MAX($B76,Assumptions!$D$32)+1),INDEX($C$94:$C$111,T$4-MAX($B76,Assumptions!$D$32)+1)))</f>
        <v>9.54633786424566</v>
      </c>
      <c r="U76" s="12" t="n">
        <f aca="false">IF(OR(U$4&lt;Assumptions!$D$32,U$4&lt;$B76),0,U54*IF(U$4&gt;=Assumptions!$D$33,INDEX($D$94:$D$111,U$4-MAX($B76,Assumptions!$D$32)+1),INDEX($C$94:$C$111,U$4-MAX($B76,Assumptions!$D$32)+1)))</f>
        <v>8.782630835106</v>
      </c>
    </row>
    <row r="77" customFormat="false" ht="15" hidden="false" customHeight="false" outlineLevel="0" collapsed="false">
      <c r="A77" s="2" t="s">
        <v>272</v>
      </c>
      <c r="B77" s="15" t="n">
        <v>7</v>
      </c>
      <c r="D77" s="12" t="n">
        <f aca="false">IF(OR(D$4&lt;Assumptions!$D$32,D$4&lt;$B77),0,D55*IF(D$4&gt;=Assumptions!$D$33,INDEX($D$94:$D$111,D$4-MAX($B77,Assumptions!$D$32)+1),INDEX($C$94:$C$111,D$4-MAX($B77,Assumptions!$D$32)+1)))</f>
        <v>0</v>
      </c>
      <c r="E77" s="12" t="n">
        <f aca="false">IF(OR(E$4&lt;Assumptions!$D$32,E$4&lt;$B77),0,E55*IF(E$4&gt;=Assumptions!$D$33,INDEX($D$94:$D$111,E$4-MAX($B77,Assumptions!$D$32)+1),INDEX($C$94:$C$111,E$4-MAX($B77,Assumptions!$D$32)+1)))</f>
        <v>0</v>
      </c>
      <c r="F77" s="12" t="n">
        <f aca="false">IF(OR(F$4&lt;Assumptions!$D$32,F$4&lt;$B77),0,F55*IF(F$4&gt;=Assumptions!$D$33,INDEX($D$94:$D$111,F$4-MAX($B77,Assumptions!$D$32)+1),INDEX($C$94:$C$111,F$4-MAX($B77,Assumptions!$D$32)+1)))</f>
        <v>0</v>
      </c>
      <c r="G77" s="12" t="n">
        <f aca="false">IF(OR(G$4&lt;Assumptions!$D$32,G$4&lt;$B77),0,G55*IF(G$4&gt;=Assumptions!$D$33,INDEX($D$94:$D$111,G$4-MAX($B77,Assumptions!$D$32)+1),INDEX($C$94:$C$111,G$4-MAX($B77,Assumptions!$D$32)+1)))</f>
        <v>0</v>
      </c>
      <c r="H77" s="12" t="n">
        <f aca="false">IF(OR(H$4&lt;Assumptions!$D$32,H$4&lt;$B77),0,H55*IF(H$4&gt;=Assumptions!$D$33,INDEX($D$94:$D$111,H$4-MAX($B77,Assumptions!$D$32)+1),INDEX($C$94:$C$111,H$4-MAX($B77,Assumptions!$D$32)+1)))</f>
        <v>0</v>
      </c>
      <c r="I77" s="12" t="n">
        <f aca="false">IF(OR(I$4&lt;Assumptions!$D$32,I$4&lt;$B77),0,I55*IF(I$4&gt;=Assumptions!$D$33,INDEX($D$94:$D$111,I$4-MAX($B77,Assumptions!$D$32)+1),INDEX($C$94:$C$111,I$4-MAX($B77,Assumptions!$D$32)+1)))</f>
        <v>0</v>
      </c>
      <c r="J77" s="12" t="n">
        <f aca="false">IF(OR(J$4&lt;Assumptions!$D$32,J$4&lt;$B77),0,J55*IF(J$4&gt;=Assumptions!$D$33,INDEX($D$94:$D$111,J$4-MAX($B77,Assumptions!$D$32)+1),INDEX($C$94:$C$111,J$4-MAX($B77,Assumptions!$D$32)+1)))</f>
        <v>4.265625</v>
      </c>
      <c r="K77" s="12" t="n">
        <f aca="false">IF(OR(K$4&lt;Assumptions!$D$32,K$4&lt;$B77),0,K55*IF(K$4&gt;=Assumptions!$D$33,INDEX($D$94:$D$111,K$4-MAX($B77,Assumptions!$D$32)+1),INDEX($C$94:$C$111,K$4-MAX($B77,Assumptions!$D$32)+1)))</f>
        <v>7.84875</v>
      </c>
      <c r="L77" s="12" t="n">
        <f aca="false">IF(OR(L$4&lt;Assumptions!$D$32,L$4&lt;$B77),0,L55*IF(L$4&gt;=Assumptions!$D$33,INDEX($D$94:$D$111,L$4-MAX($B77,Assumptions!$D$32)+1),INDEX($C$94:$C$111,L$4-MAX($B77,Assumptions!$D$32)+1)))</f>
        <v>10.831275</v>
      </c>
      <c r="M77" s="12" t="n">
        <f aca="false">IF(OR(M$4&lt;Assumptions!$D$32,M$4&lt;$B77),0,M55*IF(M$4&gt;=Assumptions!$D$33,INDEX($D$94:$D$111,M$4-MAX($B77,Assumptions!$D$32)+1),INDEX($C$94:$C$111,M$4-MAX($B77,Assumptions!$D$32)+1)))</f>
        <v>16.607955</v>
      </c>
      <c r="N77" s="12" t="n">
        <f aca="false">IF(OR(N$4&lt;Assumptions!$D$32,N$4&lt;$B77),0,N55*IF(N$4&gt;=Assumptions!$D$33,INDEX($D$94:$D$111,N$4-MAX($B77,Assumptions!$D$32)+1),INDEX($C$94:$C$111,N$4-MAX($B77,Assumptions!$D$32)+1)))</f>
        <v>15.890491344</v>
      </c>
      <c r="O77" s="12" t="n">
        <f aca="false">IF(OR(O$4&lt;Assumptions!$D$32,O$4&lt;$B77),0,O55*IF(O$4&gt;=Assumptions!$D$33,INDEX($D$94:$D$111,O$4-MAX($B77,Assumptions!$D$32)+1),INDEX($C$94:$C$111,O$4-MAX($B77,Assumptions!$D$32)+1)))</f>
        <v>14.61925203648</v>
      </c>
      <c r="P77" s="12" t="n">
        <f aca="false">IF(OR(P$4&lt;Assumptions!$D$32,P$4&lt;$B77),0,P55*IF(P$4&gt;=Assumptions!$D$33,INDEX($D$94:$D$111,P$4-MAX($B77,Assumptions!$D$32)+1),INDEX($C$94:$C$111,P$4-MAX($B77,Assumptions!$D$32)+1)))</f>
        <v>13.4497118735616</v>
      </c>
      <c r="Q77" s="12" t="n">
        <f aca="false">IF(OR(Q$4&lt;Assumptions!$D$32,Q$4&lt;$B77),0,Q55*IF(Q$4&gt;=Assumptions!$D$33,INDEX($D$94:$D$111,Q$4-MAX($B77,Assumptions!$D$32)+1),INDEX($C$94:$C$111,Q$4-MAX($B77,Assumptions!$D$32)+1)))</f>
        <v>13.3255606870364</v>
      </c>
      <c r="R77" s="12" t="n">
        <f aca="false">IF(OR(R$4&lt;Assumptions!$D$32,R$4&lt;$B77),0,R55*IF(R$4&gt;=Assumptions!$D$33,INDEX($D$94:$D$111,R$4-MAX($B77,Assumptions!$D$32)+1),INDEX($C$94:$C$111,R$4-MAX($B77,Assumptions!$D$32)+1)))</f>
        <v>12.2595158320735</v>
      </c>
      <c r="S77" s="12" t="n">
        <f aca="false">IF(OR(S$4&lt;Assumptions!$D$32,S$4&lt;$B77),0,S55*IF(S$4&gt;=Assumptions!$D$33,INDEX($D$94:$D$111,S$4-MAX($B77,Assumptions!$D$32)+1),INDEX($C$94:$C$111,S$4-MAX($B77,Assumptions!$D$32)+1)))</f>
        <v>11.2787545655076</v>
      </c>
      <c r="T77" s="12" t="n">
        <f aca="false">IF(OR(T$4&lt;Assumptions!$D$32,T$4&lt;$B77),0,T55*IF(T$4&gt;=Assumptions!$D$33,INDEX($D$94:$D$111,T$4-MAX($B77,Assumptions!$D$32)+1),INDEX($C$94:$C$111,T$4-MAX($B77,Assumptions!$D$32)+1)))</f>
        <v>10.376454200267</v>
      </c>
      <c r="U77" s="12" t="n">
        <f aca="false">IF(OR(U$4&lt;Assumptions!$D$32,U$4&lt;$B77),0,U55*IF(U$4&gt;=Assumptions!$D$33,INDEX($D$94:$D$111,U$4-MAX($B77,Assumptions!$D$32)+1),INDEX($C$94:$C$111,U$4-MAX($B77,Assumptions!$D$32)+1)))</f>
        <v>9.54633786424566</v>
      </c>
    </row>
    <row r="78" customFormat="false" ht="15" hidden="false" customHeight="false" outlineLevel="0" collapsed="false">
      <c r="A78" s="2" t="s">
        <v>273</v>
      </c>
      <c r="B78" s="15" t="n">
        <v>8</v>
      </c>
      <c r="D78" s="12" t="n">
        <f aca="false">IF(OR(D$4&lt;Assumptions!$D$32,D$4&lt;$B78),0,D56*IF(D$4&gt;=Assumptions!$D$33,INDEX($D$94:$D$111,D$4-MAX($B78,Assumptions!$D$32)+1),INDEX($C$94:$C$111,D$4-MAX($B78,Assumptions!$D$32)+1)))</f>
        <v>0</v>
      </c>
      <c r="E78" s="12" t="n">
        <f aca="false">IF(OR(E$4&lt;Assumptions!$D$32,E$4&lt;$B78),0,E56*IF(E$4&gt;=Assumptions!$D$33,INDEX($D$94:$D$111,E$4-MAX($B78,Assumptions!$D$32)+1),INDEX($C$94:$C$111,E$4-MAX($B78,Assumptions!$D$32)+1)))</f>
        <v>0</v>
      </c>
      <c r="F78" s="12" t="n">
        <f aca="false">IF(OR(F$4&lt;Assumptions!$D$32,F$4&lt;$B78),0,F56*IF(F$4&gt;=Assumptions!$D$33,INDEX($D$94:$D$111,F$4-MAX($B78,Assumptions!$D$32)+1),INDEX($C$94:$C$111,F$4-MAX($B78,Assumptions!$D$32)+1)))</f>
        <v>0</v>
      </c>
      <c r="G78" s="12" t="n">
        <f aca="false">IF(OR(G$4&lt;Assumptions!$D$32,G$4&lt;$B78),0,G56*IF(G$4&gt;=Assumptions!$D$33,INDEX($D$94:$D$111,G$4-MAX($B78,Assumptions!$D$32)+1),INDEX($C$94:$C$111,G$4-MAX($B78,Assumptions!$D$32)+1)))</f>
        <v>0</v>
      </c>
      <c r="H78" s="12" t="n">
        <f aca="false">IF(OR(H$4&lt;Assumptions!$D$32,H$4&lt;$B78),0,H56*IF(H$4&gt;=Assumptions!$D$33,INDEX($D$94:$D$111,H$4-MAX($B78,Assumptions!$D$32)+1),INDEX($C$94:$C$111,H$4-MAX($B78,Assumptions!$D$32)+1)))</f>
        <v>0</v>
      </c>
      <c r="I78" s="12" t="n">
        <f aca="false">IF(OR(I$4&lt;Assumptions!$D$32,I$4&lt;$B78),0,I56*IF(I$4&gt;=Assumptions!$D$33,INDEX($D$94:$D$111,I$4-MAX($B78,Assumptions!$D$32)+1),INDEX($C$94:$C$111,I$4-MAX($B78,Assumptions!$D$32)+1)))</f>
        <v>0</v>
      </c>
      <c r="J78" s="12" t="n">
        <f aca="false">IF(OR(J$4&lt;Assumptions!$D$32,J$4&lt;$B78),0,J56*IF(J$4&gt;=Assumptions!$D$33,INDEX($D$94:$D$111,J$4-MAX($B78,Assumptions!$D$32)+1),INDEX($C$94:$C$111,J$4-MAX($B78,Assumptions!$D$32)+1)))</f>
        <v>0</v>
      </c>
      <c r="K78" s="12" t="n">
        <f aca="false">IF(OR(K$4&lt;Assumptions!$D$32,K$4&lt;$B78),0,K56*IF(K$4&gt;=Assumptions!$D$33,INDEX($D$94:$D$111,K$4-MAX($B78,Assumptions!$D$32)+1),INDEX($C$94:$C$111,K$4-MAX($B78,Assumptions!$D$32)+1)))</f>
        <v>4.265625</v>
      </c>
      <c r="L78" s="12" t="n">
        <f aca="false">IF(OR(L$4&lt;Assumptions!$D$32,L$4&lt;$B78),0,L56*IF(L$4&gt;=Assumptions!$D$33,INDEX($D$94:$D$111,L$4-MAX($B78,Assumptions!$D$32)+1),INDEX($C$94:$C$111,L$4-MAX($B78,Assumptions!$D$32)+1)))</f>
        <v>7.84875</v>
      </c>
      <c r="M78" s="12" t="n">
        <f aca="false">IF(OR(M$4&lt;Assumptions!$D$32,M$4&lt;$B78),0,M56*IF(M$4&gt;=Assumptions!$D$33,INDEX($D$94:$D$111,M$4-MAX($B78,Assumptions!$D$32)+1),INDEX($C$94:$C$111,M$4-MAX($B78,Assumptions!$D$32)+1)))</f>
        <v>10.831275</v>
      </c>
      <c r="N78" s="12" t="n">
        <f aca="false">IF(OR(N$4&lt;Assumptions!$D$32,N$4&lt;$B78),0,N56*IF(N$4&gt;=Assumptions!$D$33,INDEX($D$94:$D$111,N$4-MAX($B78,Assumptions!$D$32)+1),INDEX($C$94:$C$111,N$4-MAX($B78,Assumptions!$D$32)+1)))</f>
        <v>16.607955</v>
      </c>
      <c r="O78" s="12" t="n">
        <f aca="false">IF(OR(O$4&lt;Assumptions!$D$32,O$4&lt;$B78),0,O56*IF(O$4&gt;=Assumptions!$D$33,INDEX($D$94:$D$111,O$4-MAX($B78,Assumptions!$D$32)+1),INDEX($C$94:$C$111,O$4-MAX($B78,Assumptions!$D$32)+1)))</f>
        <v>15.890491344</v>
      </c>
      <c r="P78" s="12" t="n">
        <f aca="false">IF(OR(P$4&lt;Assumptions!$D$32,P$4&lt;$B78),0,P56*IF(P$4&gt;=Assumptions!$D$33,INDEX($D$94:$D$111,P$4-MAX($B78,Assumptions!$D$32)+1),INDEX($C$94:$C$111,P$4-MAX($B78,Assumptions!$D$32)+1)))</f>
        <v>14.61925203648</v>
      </c>
      <c r="Q78" s="12" t="n">
        <f aca="false">IF(OR(Q$4&lt;Assumptions!$D$32,Q$4&lt;$B78),0,Q56*IF(Q$4&gt;=Assumptions!$D$33,INDEX($D$94:$D$111,Q$4-MAX($B78,Assumptions!$D$32)+1),INDEX($C$94:$C$111,Q$4-MAX($B78,Assumptions!$D$32)+1)))</f>
        <v>13.4497118735616</v>
      </c>
      <c r="R78" s="12" t="n">
        <f aca="false">IF(OR(R$4&lt;Assumptions!$D$32,R$4&lt;$B78),0,R56*IF(R$4&gt;=Assumptions!$D$33,INDEX($D$94:$D$111,R$4-MAX($B78,Assumptions!$D$32)+1),INDEX($C$94:$C$111,R$4-MAX($B78,Assumptions!$D$32)+1)))</f>
        <v>13.3255606870364</v>
      </c>
      <c r="S78" s="12" t="n">
        <f aca="false">IF(OR(S$4&lt;Assumptions!$D$32,S$4&lt;$B78),0,S56*IF(S$4&gt;=Assumptions!$D$33,INDEX($D$94:$D$111,S$4-MAX($B78,Assumptions!$D$32)+1),INDEX($C$94:$C$111,S$4-MAX($B78,Assumptions!$D$32)+1)))</f>
        <v>12.2595158320735</v>
      </c>
      <c r="T78" s="12" t="n">
        <f aca="false">IF(OR(T$4&lt;Assumptions!$D$32,T$4&lt;$B78),0,T56*IF(T$4&gt;=Assumptions!$D$33,INDEX($D$94:$D$111,T$4-MAX($B78,Assumptions!$D$32)+1),INDEX($C$94:$C$111,T$4-MAX($B78,Assumptions!$D$32)+1)))</f>
        <v>11.2787545655076</v>
      </c>
      <c r="U78" s="12" t="n">
        <f aca="false">IF(OR(U$4&lt;Assumptions!$D$32,U$4&lt;$B78),0,U56*IF(U$4&gt;=Assumptions!$D$33,INDEX($D$94:$D$111,U$4-MAX($B78,Assumptions!$D$32)+1),INDEX($C$94:$C$111,U$4-MAX($B78,Assumptions!$D$32)+1)))</f>
        <v>10.376454200267</v>
      </c>
    </row>
    <row r="79" customFormat="false" ht="15" hidden="false" customHeight="false" outlineLevel="0" collapsed="false">
      <c r="A79" s="2" t="s">
        <v>274</v>
      </c>
      <c r="B79" s="15" t="n">
        <v>9</v>
      </c>
      <c r="D79" s="12" t="n">
        <f aca="false">IF(OR(D$4&lt;Assumptions!$D$32,D$4&lt;$B79),0,D57*IF(D$4&gt;=Assumptions!$D$33,INDEX($D$94:$D$111,D$4-MAX($B79,Assumptions!$D$32)+1),INDEX($C$94:$C$111,D$4-MAX($B79,Assumptions!$D$32)+1)))</f>
        <v>0</v>
      </c>
      <c r="E79" s="12" t="n">
        <f aca="false">IF(OR(E$4&lt;Assumptions!$D$32,E$4&lt;$B79),0,E57*IF(E$4&gt;=Assumptions!$D$33,INDEX($D$94:$D$111,E$4-MAX($B79,Assumptions!$D$32)+1),INDEX($C$94:$C$111,E$4-MAX($B79,Assumptions!$D$32)+1)))</f>
        <v>0</v>
      </c>
      <c r="F79" s="12" t="n">
        <f aca="false">IF(OR(F$4&lt;Assumptions!$D$32,F$4&lt;$B79),0,F57*IF(F$4&gt;=Assumptions!$D$33,INDEX($D$94:$D$111,F$4-MAX($B79,Assumptions!$D$32)+1),INDEX($C$94:$C$111,F$4-MAX($B79,Assumptions!$D$32)+1)))</f>
        <v>0</v>
      </c>
      <c r="G79" s="12" t="n">
        <f aca="false">IF(OR(G$4&lt;Assumptions!$D$32,G$4&lt;$B79),0,G57*IF(G$4&gt;=Assumptions!$D$33,INDEX($D$94:$D$111,G$4-MAX($B79,Assumptions!$D$32)+1),INDEX($C$94:$C$111,G$4-MAX($B79,Assumptions!$D$32)+1)))</f>
        <v>0</v>
      </c>
      <c r="H79" s="12" t="n">
        <f aca="false">IF(OR(H$4&lt;Assumptions!$D$32,H$4&lt;$B79),0,H57*IF(H$4&gt;=Assumptions!$D$33,INDEX($D$94:$D$111,H$4-MAX($B79,Assumptions!$D$32)+1),INDEX($C$94:$C$111,H$4-MAX($B79,Assumptions!$D$32)+1)))</f>
        <v>0</v>
      </c>
      <c r="I79" s="12" t="n">
        <f aca="false">IF(OR(I$4&lt;Assumptions!$D$32,I$4&lt;$B79),0,I57*IF(I$4&gt;=Assumptions!$D$33,INDEX($D$94:$D$111,I$4-MAX($B79,Assumptions!$D$32)+1),INDEX($C$94:$C$111,I$4-MAX($B79,Assumptions!$D$32)+1)))</f>
        <v>0</v>
      </c>
      <c r="J79" s="12" t="n">
        <f aca="false">IF(OR(J$4&lt;Assumptions!$D$32,J$4&lt;$B79),0,J57*IF(J$4&gt;=Assumptions!$D$33,INDEX($D$94:$D$111,J$4-MAX($B79,Assumptions!$D$32)+1),INDEX($C$94:$C$111,J$4-MAX($B79,Assumptions!$D$32)+1)))</f>
        <v>0</v>
      </c>
      <c r="K79" s="12" t="n">
        <f aca="false">IF(OR(K$4&lt;Assumptions!$D$32,K$4&lt;$B79),0,K57*IF(K$4&gt;=Assumptions!$D$33,INDEX($D$94:$D$111,K$4-MAX($B79,Assumptions!$D$32)+1),INDEX($C$94:$C$111,K$4-MAX($B79,Assumptions!$D$32)+1)))</f>
        <v>0</v>
      </c>
      <c r="L79" s="12" t="n">
        <f aca="false">IF(OR(L$4&lt;Assumptions!$D$32,L$4&lt;$B79),0,L57*IF(L$4&gt;=Assumptions!$D$33,INDEX($D$94:$D$111,L$4-MAX($B79,Assumptions!$D$32)+1),INDEX($C$94:$C$111,L$4-MAX($B79,Assumptions!$D$32)+1)))</f>
        <v>4.265625</v>
      </c>
      <c r="M79" s="12" t="n">
        <f aca="false">IF(OR(M$4&lt;Assumptions!$D$32,M$4&lt;$B79),0,M57*IF(M$4&gt;=Assumptions!$D$33,INDEX($D$94:$D$111,M$4-MAX($B79,Assumptions!$D$32)+1),INDEX($C$94:$C$111,M$4-MAX($B79,Assumptions!$D$32)+1)))</f>
        <v>7.84875</v>
      </c>
      <c r="N79" s="12" t="n">
        <f aca="false">IF(OR(N$4&lt;Assumptions!$D$32,N$4&lt;$B79),0,N57*IF(N$4&gt;=Assumptions!$D$33,INDEX($D$94:$D$111,N$4-MAX($B79,Assumptions!$D$32)+1),INDEX($C$94:$C$111,N$4-MAX($B79,Assumptions!$D$32)+1)))</f>
        <v>10.831275</v>
      </c>
      <c r="O79" s="12" t="n">
        <f aca="false">IF(OR(O$4&lt;Assumptions!$D$32,O$4&lt;$B79),0,O57*IF(O$4&gt;=Assumptions!$D$33,INDEX($D$94:$D$111,O$4-MAX($B79,Assumptions!$D$32)+1),INDEX($C$94:$C$111,O$4-MAX($B79,Assumptions!$D$32)+1)))</f>
        <v>16.607955</v>
      </c>
      <c r="P79" s="12" t="n">
        <f aca="false">IF(OR(P$4&lt;Assumptions!$D$32,P$4&lt;$B79),0,P57*IF(P$4&gt;=Assumptions!$D$33,INDEX($D$94:$D$111,P$4-MAX($B79,Assumptions!$D$32)+1),INDEX($C$94:$C$111,P$4-MAX($B79,Assumptions!$D$32)+1)))</f>
        <v>15.890491344</v>
      </c>
      <c r="Q79" s="12" t="n">
        <f aca="false">IF(OR(Q$4&lt;Assumptions!$D$32,Q$4&lt;$B79),0,Q57*IF(Q$4&gt;=Assumptions!$D$33,INDEX($D$94:$D$111,Q$4-MAX($B79,Assumptions!$D$32)+1),INDEX($C$94:$C$111,Q$4-MAX($B79,Assumptions!$D$32)+1)))</f>
        <v>14.61925203648</v>
      </c>
      <c r="R79" s="12" t="n">
        <f aca="false">IF(OR(R$4&lt;Assumptions!$D$32,R$4&lt;$B79),0,R57*IF(R$4&gt;=Assumptions!$D$33,INDEX($D$94:$D$111,R$4-MAX($B79,Assumptions!$D$32)+1),INDEX($C$94:$C$111,R$4-MAX($B79,Assumptions!$D$32)+1)))</f>
        <v>13.4497118735616</v>
      </c>
      <c r="S79" s="12" t="n">
        <f aca="false">IF(OR(S$4&lt;Assumptions!$D$32,S$4&lt;$B79),0,S57*IF(S$4&gt;=Assumptions!$D$33,INDEX($D$94:$D$111,S$4-MAX($B79,Assumptions!$D$32)+1),INDEX($C$94:$C$111,S$4-MAX($B79,Assumptions!$D$32)+1)))</f>
        <v>13.3255606870364</v>
      </c>
      <c r="T79" s="12" t="n">
        <f aca="false">IF(OR(T$4&lt;Assumptions!$D$32,T$4&lt;$B79),0,T57*IF(T$4&gt;=Assumptions!$D$33,INDEX($D$94:$D$111,T$4-MAX($B79,Assumptions!$D$32)+1),INDEX($C$94:$C$111,T$4-MAX($B79,Assumptions!$D$32)+1)))</f>
        <v>12.2595158320735</v>
      </c>
      <c r="U79" s="12" t="n">
        <f aca="false">IF(OR(U$4&lt;Assumptions!$D$32,U$4&lt;$B79),0,U57*IF(U$4&gt;=Assumptions!$D$33,INDEX($D$94:$D$111,U$4-MAX($B79,Assumptions!$D$32)+1),INDEX($C$94:$C$111,U$4-MAX($B79,Assumptions!$D$32)+1)))</f>
        <v>11.2787545655076</v>
      </c>
    </row>
    <row r="80" customFormat="false" ht="15" hidden="false" customHeight="false" outlineLevel="0" collapsed="false">
      <c r="A80" s="2" t="s">
        <v>275</v>
      </c>
      <c r="B80" s="15" t="n">
        <v>10</v>
      </c>
      <c r="D80" s="12" t="n">
        <f aca="false">IF(OR(D$4&lt;Assumptions!$D$32,D$4&lt;$B80),0,D58*IF(D$4&gt;=Assumptions!$D$33,INDEX($D$94:$D$111,D$4-MAX($B80,Assumptions!$D$32)+1),INDEX($C$94:$C$111,D$4-MAX($B80,Assumptions!$D$32)+1)))</f>
        <v>0</v>
      </c>
      <c r="E80" s="12" t="n">
        <f aca="false">IF(OR(E$4&lt;Assumptions!$D$32,E$4&lt;$B80),0,E58*IF(E$4&gt;=Assumptions!$D$33,INDEX($D$94:$D$111,E$4-MAX($B80,Assumptions!$D$32)+1),INDEX($C$94:$C$111,E$4-MAX($B80,Assumptions!$D$32)+1)))</f>
        <v>0</v>
      </c>
      <c r="F80" s="12" t="n">
        <f aca="false">IF(OR(F$4&lt;Assumptions!$D$32,F$4&lt;$B80),0,F58*IF(F$4&gt;=Assumptions!$D$33,INDEX($D$94:$D$111,F$4-MAX($B80,Assumptions!$D$32)+1),INDEX($C$94:$C$111,F$4-MAX($B80,Assumptions!$D$32)+1)))</f>
        <v>0</v>
      </c>
      <c r="G80" s="12" t="n">
        <f aca="false">IF(OR(G$4&lt;Assumptions!$D$32,G$4&lt;$B80),0,G58*IF(G$4&gt;=Assumptions!$D$33,INDEX($D$94:$D$111,G$4-MAX($B80,Assumptions!$D$32)+1),INDEX($C$94:$C$111,G$4-MAX($B80,Assumptions!$D$32)+1)))</f>
        <v>0</v>
      </c>
      <c r="H80" s="12" t="n">
        <f aca="false">IF(OR(H$4&lt;Assumptions!$D$32,H$4&lt;$B80),0,H58*IF(H$4&gt;=Assumptions!$D$33,INDEX($D$94:$D$111,H$4-MAX($B80,Assumptions!$D$32)+1),INDEX($C$94:$C$111,H$4-MAX($B80,Assumptions!$D$32)+1)))</f>
        <v>0</v>
      </c>
      <c r="I80" s="12" t="n">
        <f aca="false">IF(OR(I$4&lt;Assumptions!$D$32,I$4&lt;$B80),0,I58*IF(I$4&gt;=Assumptions!$D$33,INDEX($D$94:$D$111,I$4-MAX($B80,Assumptions!$D$32)+1),INDEX($C$94:$C$111,I$4-MAX($B80,Assumptions!$D$32)+1)))</f>
        <v>0</v>
      </c>
      <c r="J80" s="12" t="n">
        <f aca="false">IF(OR(J$4&lt;Assumptions!$D$32,J$4&lt;$B80),0,J58*IF(J$4&gt;=Assumptions!$D$33,INDEX($D$94:$D$111,J$4-MAX($B80,Assumptions!$D$32)+1),INDEX($C$94:$C$111,J$4-MAX($B80,Assumptions!$D$32)+1)))</f>
        <v>0</v>
      </c>
      <c r="K80" s="12" t="n">
        <f aca="false">IF(OR(K$4&lt;Assumptions!$D$32,K$4&lt;$B80),0,K58*IF(K$4&gt;=Assumptions!$D$33,INDEX($D$94:$D$111,K$4-MAX($B80,Assumptions!$D$32)+1),INDEX($C$94:$C$111,K$4-MAX($B80,Assumptions!$D$32)+1)))</f>
        <v>0</v>
      </c>
      <c r="L80" s="12" t="n">
        <f aca="false">IF(OR(L$4&lt;Assumptions!$D$32,L$4&lt;$B80),0,L58*IF(L$4&gt;=Assumptions!$D$33,INDEX($D$94:$D$111,L$4-MAX($B80,Assumptions!$D$32)+1),INDEX($C$94:$C$111,L$4-MAX($B80,Assumptions!$D$32)+1)))</f>
        <v>0</v>
      </c>
      <c r="M80" s="12" t="n">
        <f aca="false">IF(OR(M$4&lt;Assumptions!$D$32,M$4&lt;$B80),0,M58*IF(M$4&gt;=Assumptions!$D$33,INDEX($D$94:$D$111,M$4-MAX($B80,Assumptions!$D$32)+1),INDEX($C$94:$C$111,M$4-MAX($B80,Assumptions!$D$32)+1)))</f>
        <v>4.265625</v>
      </c>
      <c r="N80" s="12" t="n">
        <f aca="false">IF(OR(N$4&lt;Assumptions!$D$32,N$4&lt;$B80),0,N58*IF(N$4&gt;=Assumptions!$D$33,INDEX($D$94:$D$111,N$4-MAX($B80,Assumptions!$D$32)+1),INDEX($C$94:$C$111,N$4-MAX($B80,Assumptions!$D$32)+1)))</f>
        <v>7.84875</v>
      </c>
      <c r="O80" s="12" t="n">
        <f aca="false">IF(OR(O$4&lt;Assumptions!$D$32,O$4&lt;$B80),0,O58*IF(O$4&gt;=Assumptions!$D$33,INDEX($D$94:$D$111,O$4-MAX($B80,Assumptions!$D$32)+1),INDEX($C$94:$C$111,O$4-MAX($B80,Assumptions!$D$32)+1)))</f>
        <v>10.831275</v>
      </c>
      <c r="P80" s="12" t="n">
        <f aca="false">IF(OR(P$4&lt;Assumptions!$D$32,P$4&lt;$B80),0,P58*IF(P$4&gt;=Assumptions!$D$33,INDEX($D$94:$D$111,P$4-MAX($B80,Assumptions!$D$32)+1),INDEX($C$94:$C$111,P$4-MAX($B80,Assumptions!$D$32)+1)))</f>
        <v>16.607955</v>
      </c>
      <c r="Q80" s="12" t="n">
        <f aca="false">IF(OR(Q$4&lt;Assumptions!$D$32,Q$4&lt;$B80),0,Q58*IF(Q$4&gt;=Assumptions!$D$33,INDEX($D$94:$D$111,Q$4-MAX($B80,Assumptions!$D$32)+1),INDEX($C$94:$C$111,Q$4-MAX($B80,Assumptions!$D$32)+1)))</f>
        <v>15.890491344</v>
      </c>
      <c r="R80" s="12" t="n">
        <f aca="false">IF(OR(R$4&lt;Assumptions!$D$32,R$4&lt;$B80),0,R58*IF(R$4&gt;=Assumptions!$D$33,INDEX($D$94:$D$111,R$4-MAX($B80,Assumptions!$D$32)+1),INDEX($C$94:$C$111,R$4-MAX($B80,Assumptions!$D$32)+1)))</f>
        <v>14.61925203648</v>
      </c>
      <c r="S80" s="12" t="n">
        <f aca="false">IF(OR(S$4&lt;Assumptions!$D$32,S$4&lt;$B80),0,S58*IF(S$4&gt;=Assumptions!$D$33,INDEX($D$94:$D$111,S$4-MAX($B80,Assumptions!$D$32)+1),INDEX($C$94:$C$111,S$4-MAX($B80,Assumptions!$D$32)+1)))</f>
        <v>13.4497118735616</v>
      </c>
      <c r="T80" s="12" t="n">
        <f aca="false">IF(OR(T$4&lt;Assumptions!$D$32,T$4&lt;$B80),0,T58*IF(T$4&gt;=Assumptions!$D$33,INDEX($D$94:$D$111,T$4-MAX($B80,Assumptions!$D$32)+1),INDEX($C$94:$C$111,T$4-MAX($B80,Assumptions!$D$32)+1)))</f>
        <v>13.3255606870364</v>
      </c>
      <c r="U80" s="12" t="n">
        <f aca="false">IF(OR(U$4&lt;Assumptions!$D$32,U$4&lt;$B80),0,U58*IF(U$4&gt;=Assumptions!$D$33,INDEX($D$94:$D$111,U$4-MAX($B80,Assumptions!$D$32)+1),INDEX($C$94:$C$111,U$4-MAX($B80,Assumptions!$D$32)+1)))</f>
        <v>12.2595158320735</v>
      </c>
    </row>
    <row r="81" customFormat="false" ht="15" hidden="false" customHeight="false" outlineLevel="0" collapsed="false">
      <c r="A81" s="2" t="s">
        <v>276</v>
      </c>
      <c r="B81" s="15" t="n">
        <v>11</v>
      </c>
      <c r="D81" s="12" t="n">
        <f aca="false">IF(OR(D$4&lt;Assumptions!$D$32,D$4&lt;$B81),0,D59*IF(D$4&gt;=Assumptions!$D$33,INDEX($D$94:$D$111,D$4-MAX($B81,Assumptions!$D$32)+1),INDEX($C$94:$C$111,D$4-MAX($B81,Assumptions!$D$32)+1)))</f>
        <v>0</v>
      </c>
      <c r="E81" s="12" t="n">
        <f aca="false">IF(OR(E$4&lt;Assumptions!$D$32,E$4&lt;$B81),0,E59*IF(E$4&gt;=Assumptions!$D$33,INDEX($D$94:$D$111,E$4-MAX($B81,Assumptions!$D$32)+1),INDEX($C$94:$C$111,E$4-MAX($B81,Assumptions!$D$32)+1)))</f>
        <v>0</v>
      </c>
      <c r="F81" s="12" t="n">
        <f aca="false">IF(OR(F$4&lt;Assumptions!$D$32,F$4&lt;$B81),0,F59*IF(F$4&gt;=Assumptions!$D$33,INDEX($D$94:$D$111,F$4-MAX($B81,Assumptions!$D$32)+1),INDEX($C$94:$C$111,F$4-MAX($B81,Assumptions!$D$32)+1)))</f>
        <v>0</v>
      </c>
      <c r="G81" s="12" t="n">
        <f aca="false">IF(OR(G$4&lt;Assumptions!$D$32,G$4&lt;$B81),0,G59*IF(G$4&gt;=Assumptions!$D$33,INDEX($D$94:$D$111,G$4-MAX($B81,Assumptions!$D$32)+1),INDEX($C$94:$C$111,G$4-MAX($B81,Assumptions!$D$32)+1)))</f>
        <v>0</v>
      </c>
      <c r="H81" s="12" t="n">
        <f aca="false">IF(OR(H$4&lt;Assumptions!$D$32,H$4&lt;$B81),0,H59*IF(H$4&gt;=Assumptions!$D$33,INDEX($D$94:$D$111,H$4-MAX($B81,Assumptions!$D$32)+1),INDEX($C$94:$C$111,H$4-MAX($B81,Assumptions!$D$32)+1)))</f>
        <v>0</v>
      </c>
      <c r="I81" s="12" t="n">
        <f aca="false">IF(OR(I$4&lt;Assumptions!$D$32,I$4&lt;$B81),0,I59*IF(I$4&gt;=Assumptions!$D$33,INDEX($D$94:$D$111,I$4-MAX($B81,Assumptions!$D$32)+1),INDEX($C$94:$C$111,I$4-MAX($B81,Assumptions!$D$32)+1)))</f>
        <v>0</v>
      </c>
      <c r="J81" s="12" t="n">
        <f aca="false">IF(OR(J$4&lt;Assumptions!$D$32,J$4&lt;$B81),0,J59*IF(J$4&gt;=Assumptions!$D$33,INDEX($D$94:$D$111,J$4-MAX($B81,Assumptions!$D$32)+1),INDEX($C$94:$C$111,J$4-MAX($B81,Assumptions!$D$32)+1)))</f>
        <v>0</v>
      </c>
      <c r="K81" s="12" t="n">
        <f aca="false">IF(OR(K$4&lt;Assumptions!$D$32,K$4&lt;$B81),0,K59*IF(K$4&gt;=Assumptions!$D$33,INDEX($D$94:$D$111,K$4-MAX($B81,Assumptions!$D$32)+1),INDEX($C$94:$C$111,K$4-MAX($B81,Assumptions!$D$32)+1)))</f>
        <v>0</v>
      </c>
      <c r="L81" s="12" t="n">
        <f aca="false">IF(OR(L$4&lt;Assumptions!$D$32,L$4&lt;$B81),0,L59*IF(L$4&gt;=Assumptions!$D$33,INDEX($D$94:$D$111,L$4-MAX($B81,Assumptions!$D$32)+1),INDEX($C$94:$C$111,L$4-MAX($B81,Assumptions!$D$32)+1)))</f>
        <v>0</v>
      </c>
      <c r="M81" s="12" t="n">
        <f aca="false">IF(OR(M$4&lt;Assumptions!$D$32,M$4&lt;$B81),0,M59*IF(M$4&gt;=Assumptions!$D$33,INDEX($D$94:$D$111,M$4-MAX($B81,Assumptions!$D$32)+1),INDEX($C$94:$C$111,M$4-MAX($B81,Assumptions!$D$32)+1)))</f>
        <v>0</v>
      </c>
      <c r="N81" s="12" t="n">
        <f aca="false">IF(OR(N$4&lt;Assumptions!$D$32,N$4&lt;$B81),0,N59*IF(N$4&gt;=Assumptions!$D$33,INDEX($D$94:$D$111,N$4-MAX($B81,Assumptions!$D$32)+1),INDEX($C$94:$C$111,N$4-MAX($B81,Assumptions!$D$32)+1)))</f>
        <v>3.65625</v>
      </c>
      <c r="O81" s="12" t="n">
        <f aca="false">IF(OR(O$4&lt;Assumptions!$D$32,O$4&lt;$B81),0,O59*IF(O$4&gt;=Assumptions!$D$33,INDEX($D$94:$D$111,O$4-MAX($B81,Assumptions!$D$32)+1),INDEX($C$94:$C$111,O$4-MAX($B81,Assumptions!$D$32)+1)))</f>
        <v>6.7275</v>
      </c>
      <c r="P81" s="12" t="n">
        <f aca="false">IF(OR(P$4&lt;Assumptions!$D$32,P$4&lt;$B81),0,P59*IF(P$4&gt;=Assumptions!$D$33,INDEX($D$94:$D$111,P$4-MAX($B81,Assumptions!$D$32)+1),INDEX($C$94:$C$111,P$4-MAX($B81,Assumptions!$D$32)+1)))</f>
        <v>9.28395</v>
      </c>
      <c r="Q81" s="12" t="n">
        <f aca="false">IF(OR(Q$4&lt;Assumptions!$D$32,Q$4&lt;$B81),0,Q59*IF(Q$4&gt;=Assumptions!$D$33,INDEX($D$94:$D$111,Q$4-MAX($B81,Assumptions!$D$32)+1),INDEX($C$94:$C$111,Q$4-MAX($B81,Assumptions!$D$32)+1)))</f>
        <v>14.23539</v>
      </c>
      <c r="R81" s="12" t="n">
        <f aca="false">IF(OR(R$4&lt;Assumptions!$D$32,R$4&lt;$B81),0,R59*IF(R$4&gt;=Assumptions!$D$33,INDEX($D$94:$D$111,R$4-MAX($B81,Assumptions!$D$32)+1),INDEX($C$94:$C$111,R$4-MAX($B81,Assumptions!$D$32)+1)))</f>
        <v>13.620421152</v>
      </c>
      <c r="S81" s="12" t="n">
        <f aca="false">IF(OR(S$4&lt;Assumptions!$D$32,S$4&lt;$B81),0,S59*IF(S$4&gt;=Assumptions!$D$33,INDEX($D$94:$D$111,S$4-MAX($B81,Assumptions!$D$32)+1),INDEX($C$94:$C$111,S$4-MAX($B81,Assumptions!$D$32)+1)))</f>
        <v>12.53078745984</v>
      </c>
      <c r="T81" s="12" t="n">
        <f aca="false">IF(OR(T$4&lt;Assumptions!$D$32,T$4&lt;$B81),0,T59*IF(T$4&gt;=Assumptions!$D$33,INDEX($D$94:$D$111,T$4-MAX($B81,Assumptions!$D$32)+1),INDEX($C$94:$C$111,T$4-MAX($B81,Assumptions!$D$32)+1)))</f>
        <v>11.5283244630528</v>
      </c>
      <c r="U81" s="12" t="n">
        <f aca="false">IF(OR(U$4&lt;Assumptions!$D$32,U$4&lt;$B81),0,U59*IF(U$4&gt;=Assumptions!$D$33,INDEX($D$94:$D$111,U$4-MAX($B81,Assumptions!$D$32)+1),INDEX($C$94:$C$111,U$4-MAX($B81,Assumptions!$D$32)+1)))</f>
        <v>11.4219091603169</v>
      </c>
    </row>
    <row r="82" customFormat="false" ht="15" hidden="false" customHeight="false" outlineLevel="0" collapsed="false">
      <c r="A82" s="2" t="s">
        <v>277</v>
      </c>
      <c r="B82" s="15" t="n">
        <v>12</v>
      </c>
      <c r="D82" s="12" t="n">
        <f aca="false">IF(OR(D$4&lt;Assumptions!$D$32,D$4&lt;$B82),0,D60*IF(D$4&gt;=Assumptions!$D$33,INDEX($D$94:$D$111,D$4-MAX($B82,Assumptions!$D$32)+1),INDEX($C$94:$C$111,D$4-MAX($B82,Assumptions!$D$32)+1)))</f>
        <v>0</v>
      </c>
      <c r="E82" s="12" t="n">
        <f aca="false">IF(OR(E$4&lt;Assumptions!$D$32,E$4&lt;$B82),0,E60*IF(E$4&gt;=Assumptions!$D$33,INDEX($D$94:$D$111,E$4-MAX($B82,Assumptions!$D$32)+1),INDEX($C$94:$C$111,E$4-MAX($B82,Assumptions!$D$32)+1)))</f>
        <v>0</v>
      </c>
      <c r="F82" s="12" t="n">
        <f aca="false">IF(OR(F$4&lt;Assumptions!$D$32,F$4&lt;$B82),0,F60*IF(F$4&gt;=Assumptions!$D$33,INDEX($D$94:$D$111,F$4-MAX($B82,Assumptions!$D$32)+1),INDEX($C$94:$C$111,F$4-MAX($B82,Assumptions!$D$32)+1)))</f>
        <v>0</v>
      </c>
      <c r="G82" s="12" t="n">
        <f aca="false">IF(OR(G$4&lt;Assumptions!$D$32,G$4&lt;$B82),0,G60*IF(G$4&gt;=Assumptions!$D$33,INDEX($D$94:$D$111,G$4-MAX($B82,Assumptions!$D$32)+1),INDEX($C$94:$C$111,G$4-MAX($B82,Assumptions!$D$32)+1)))</f>
        <v>0</v>
      </c>
      <c r="H82" s="12" t="n">
        <f aca="false">IF(OR(H$4&lt;Assumptions!$D$32,H$4&lt;$B82),0,H60*IF(H$4&gt;=Assumptions!$D$33,INDEX($D$94:$D$111,H$4-MAX($B82,Assumptions!$D$32)+1),INDEX($C$94:$C$111,H$4-MAX($B82,Assumptions!$D$32)+1)))</f>
        <v>0</v>
      </c>
      <c r="I82" s="12" t="n">
        <f aca="false">IF(OR(I$4&lt;Assumptions!$D$32,I$4&lt;$B82),0,I60*IF(I$4&gt;=Assumptions!$D$33,INDEX($D$94:$D$111,I$4-MAX($B82,Assumptions!$D$32)+1),INDEX($C$94:$C$111,I$4-MAX($B82,Assumptions!$D$32)+1)))</f>
        <v>0</v>
      </c>
      <c r="J82" s="12" t="n">
        <f aca="false">IF(OR(J$4&lt;Assumptions!$D$32,J$4&lt;$B82),0,J60*IF(J$4&gt;=Assumptions!$D$33,INDEX($D$94:$D$111,J$4-MAX($B82,Assumptions!$D$32)+1),INDEX($C$94:$C$111,J$4-MAX($B82,Assumptions!$D$32)+1)))</f>
        <v>0</v>
      </c>
      <c r="K82" s="12" t="n">
        <f aca="false">IF(OR(K$4&lt;Assumptions!$D$32,K$4&lt;$B82),0,K60*IF(K$4&gt;=Assumptions!$D$33,INDEX($D$94:$D$111,K$4-MAX($B82,Assumptions!$D$32)+1),INDEX($C$94:$C$111,K$4-MAX($B82,Assumptions!$D$32)+1)))</f>
        <v>0</v>
      </c>
      <c r="L82" s="12" t="n">
        <f aca="false">IF(OR(L$4&lt;Assumptions!$D$32,L$4&lt;$B82),0,L60*IF(L$4&gt;=Assumptions!$D$33,INDEX($D$94:$D$111,L$4-MAX($B82,Assumptions!$D$32)+1),INDEX($C$94:$C$111,L$4-MAX($B82,Assumptions!$D$32)+1)))</f>
        <v>0</v>
      </c>
      <c r="M82" s="12" t="n">
        <f aca="false">IF(OR(M$4&lt;Assumptions!$D$32,M$4&lt;$B82),0,M60*IF(M$4&gt;=Assumptions!$D$33,INDEX($D$94:$D$111,M$4-MAX($B82,Assumptions!$D$32)+1),INDEX($C$94:$C$111,M$4-MAX($B82,Assumptions!$D$32)+1)))</f>
        <v>0</v>
      </c>
      <c r="N82" s="12" t="n">
        <f aca="false">IF(OR(N$4&lt;Assumptions!$D$32,N$4&lt;$B82),0,N60*IF(N$4&gt;=Assumptions!$D$33,INDEX($D$94:$D$111,N$4-MAX($B82,Assumptions!$D$32)+1),INDEX($C$94:$C$111,N$4-MAX($B82,Assumptions!$D$32)+1)))</f>
        <v>0</v>
      </c>
      <c r="O82" s="12" t="n">
        <f aca="false">IF(OR(O$4&lt;Assumptions!$D$32,O$4&lt;$B82),0,O60*IF(O$4&gt;=Assumptions!$D$33,INDEX($D$94:$D$111,O$4-MAX($B82,Assumptions!$D$32)+1),INDEX($C$94:$C$111,O$4-MAX($B82,Assumptions!$D$32)+1)))</f>
        <v>3.65625</v>
      </c>
      <c r="P82" s="12" t="n">
        <f aca="false">IF(OR(P$4&lt;Assumptions!$D$32,P$4&lt;$B82),0,P60*IF(P$4&gt;=Assumptions!$D$33,INDEX($D$94:$D$111,P$4-MAX($B82,Assumptions!$D$32)+1),INDEX($C$94:$C$111,P$4-MAX($B82,Assumptions!$D$32)+1)))</f>
        <v>6.7275</v>
      </c>
      <c r="Q82" s="12" t="n">
        <f aca="false">IF(OR(Q$4&lt;Assumptions!$D$32,Q$4&lt;$B82),0,Q60*IF(Q$4&gt;=Assumptions!$D$33,INDEX($D$94:$D$111,Q$4-MAX($B82,Assumptions!$D$32)+1),INDEX($C$94:$C$111,Q$4-MAX($B82,Assumptions!$D$32)+1)))</f>
        <v>9.28395</v>
      </c>
      <c r="R82" s="12" t="n">
        <f aca="false">IF(OR(R$4&lt;Assumptions!$D$32,R$4&lt;$B82),0,R60*IF(R$4&gt;=Assumptions!$D$33,INDEX($D$94:$D$111,R$4-MAX($B82,Assumptions!$D$32)+1),INDEX($C$94:$C$111,R$4-MAX($B82,Assumptions!$D$32)+1)))</f>
        <v>14.23539</v>
      </c>
      <c r="S82" s="12" t="n">
        <f aca="false">IF(OR(S$4&lt;Assumptions!$D$32,S$4&lt;$B82),0,S60*IF(S$4&gt;=Assumptions!$D$33,INDEX($D$94:$D$111,S$4-MAX($B82,Assumptions!$D$32)+1),INDEX($C$94:$C$111,S$4-MAX($B82,Assumptions!$D$32)+1)))</f>
        <v>13.620421152</v>
      </c>
      <c r="T82" s="12" t="n">
        <f aca="false">IF(OR(T$4&lt;Assumptions!$D$32,T$4&lt;$B82),0,T60*IF(T$4&gt;=Assumptions!$D$33,INDEX($D$94:$D$111,T$4-MAX($B82,Assumptions!$D$32)+1),INDEX($C$94:$C$111,T$4-MAX($B82,Assumptions!$D$32)+1)))</f>
        <v>12.53078745984</v>
      </c>
      <c r="U82" s="12" t="n">
        <f aca="false">IF(OR(U$4&lt;Assumptions!$D$32,U$4&lt;$B82),0,U60*IF(U$4&gt;=Assumptions!$D$33,INDEX($D$94:$D$111,U$4-MAX($B82,Assumptions!$D$32)+1),INDEX($C$94:$C$111,U$4-MAX($B82,Assumptions!$D$32)+1)))</f>
        <v>11.5283244630528</v>
      </c>
    </row>
    <row r="83" customFormat="false" ht="15" hidden="false" customHeight="false" outlineLevel="0" collapsed="false">
      <c r="A83" s="2" t="s">
        <v>278</v>
      </c>
      <c r="B83" s="15" t="n">
        <v>13</v>
      </c>
      <c r="D83" s="12" t="n">
        <f aca="false">IF(OR(D$4&lt;Assumptions!$D$32,D$4&lt;$B83),0,D61*IF(D$4&gt;=Assumptions!$D$33,INDEX($D$94:$D$111,D$4-MAX($B83,Assumptions!$D$32)+1),INDEX($C$94:$C$111,D$4-MAX($B83,Assumptions!$D$32)+1)))</f>
        <v>0</v>
      </c>
      <c r="E83" s="12" t="n">
        <f aca="false">IF(OR(E$4&lt;Assumptions!$D$32,E$4&lt;$B83),0,E61*IF(E$4&gt;=Assumptions!$D$33,INDEX($D$94:$D$111,E$4-MAX($B83,Assumptions!$D$32)+1),INDEX($C$94:$C$111,E$4-MAX($B83,Assumptions!$D$32)+1)))</f>
        <v>0</v>
      </c>
      <c r="F83" s="12" t="n">
        <f aca="false">IF(OR(F$4&lt;Assumptions!$D$32,F$4&lt;$B83),0,F61*IF(F$4&gt;=Assumptions!$D$33,INDEX($D$94:$D$111,F$4-MAX($B83,Assumptions!$D$32)+1),INDEX($C$94:$C$111,F$4-MAX($B83,Assumptions!$D$32)+1)))</f>
        <v>0</v>
      </c>
      <c r="G83" s="12" t="n">
        <f aca="false">IF(OR(G$4&lt;Assumptions!$D$32,G$4&lt;$B83),0,G61*IF(G$4&gt;=Assumptions!$D$33,INDEX($D$94:$D$111,G$4-MAX($B83,Assumptions!$D$32)+1),INDEX($C$94:$C$111,G$4-MAX($B83,Assumptions!$D$32)+1)))</f>
        <v>0</v>
      </c>
      <c r="H83" s="12" t="n">
        <f aca="false">IF(OR(H$4&lt;Assumptions!$D$32,H$4&lt;$B83),0,H61*IF(H$4&gt;=Assumptions!$D$33,INDEX($D$94:$D$111,H$4-MAX($B83,Assumptions!$D$32)+1),INDEX($C$94:$C$111,H$4-MAX($B83,Assumptions!$D$32)+1)))</f>
        <v>0</v>
      </c>
      <c r="I83" s="12" t="n">
        <f aca="false">IF(OR(I$4&lt;Assumptions!$D$32,I$4&lt;$B83),0,I61*IF(I$4&gt;=Assumptions!$D$33,INDEX($D$94:$D$111,I$4-MAX($B83,Assumptions!$D$32)+1),INDEX($C$94:$C$111,I$4-MAX($B83,Assumptions!$D$32)+1)))</f>
        <v>0</v>
      </c>
      <c r="J83" s="12" t="n">
        <f aca="false">IF(OR(J$4&lt;Assumptions!$D$32,J$4&lt;$B83),0,J61*IF(J$4&gt;=Assumptions!$D$33,INDEX($D$94:$D$111,J$4-MAX($B83,Assumptions!$D$32)+1),INDEX($C$94:$C$111,J$4-MAX($B83,Assumptions!$D$32)+1)))</f>
        <v>0</v>
      </c>
      <c r="K83" s="12" t="n">
        <f aca="false">IF(OR(K$4&lt;Assumptions!$D$32,K$4&lt;$B83),0,K61*IF(K$4&gt;=Assumptions!$D$33,INDEX($D$94:$D$111,K$4-MAX($B83,Assumptions!$D$32)+1),INDEX($C$94:$C$111,K$4-MAX($B83,Assumptions!$D$32)+1)))</f>
        <v>0</v>
      </c>
      <c r="L83" s="12" t="n">
        <f aca="false">IF(OR(L$4&lt;Assumptions!$D$32,L$4&lt;$B83),0,L61*IF(L$4&gt;=Assumptions!$D$33,INDEX($D$94:$D$111,L$4-MAX($B83,Assumptions!$D$32)+1),INDEX($C$94:$C$111,L$4-MAX($B83,Assumptions!$D$32)+1)))</f>
        <v>0</v>
      </c>
      <c r="M83" s="12" t="n">
        <f aca="false">IF(OR(M$4&lt;Assumptions!$D$32,M$4&lt;$B83),0,M61*IF(M$4&gt;=Assumptions!$D$33,INDEX($D$94:$D$111,M$4-MAX($B83,Assumptions!$D$32)+1),INDEX($C$94:$C$111,M$4-MAX($B83,Assumptions!$D$32)+1)))</f>
        <v>0</v>
      </c>
      <c r="N83" s="12" t="n">
        <f aca="false">IF(OR(N$4&lt;Assumptions!$D$32,N$4&lt;$B83),0,N61*IF(N$4&gt;=Assumptions!$D$33,INDEX($D$94:$D$111,N$4-MAX($B83,Assumptions!$D$32)+1),INDEX($C$94:$C$111,N$4-MAX($B83,Assumptions!$D$32)+1)))</f>
        <v>0</v>
      </c>
      <c r="O83" s="12" t="n">
        <f aca="false">IF(OR(O$4&lt;Assumptions!$D$32,O$4&lt;$B83),0,O61*IF(O$4&gt;=Assumptions!$D$33,INDEX($D$94:$D$111,O$4-MAX($B83,Assumptions!$D$32)+1),INDEX($C$94:$C$111,O$4-MAX($B83,Assumptions!$D$32)+1)))</f>
        <v>0</v>
      </c>
      <c r="P83" s="12" t="n">
        <f aca="false">IF(OR(P$4&lt;Assumptions!$D$32,P$4&lt;$B83),0,P61*IF(P$4&gt;=Assumptions!$D$33,INDEX($D$94:$D$111,P$4-MAX($B83,Assumptions!$D$32)+1),INDEX($C$94:$C$111,P$4-MAX($B83,Assumptions!$D$32)+1)))</f>
        <v>3.65625</v>
      </c>
      <c r="Q83" s="12" t="n">
        <f aca="false">IF(OR(Q$4&lt;Assumptions!$D$32,Q$4&lt;$B83),0,Q61*IF(Q$4&gt;=Assumptions!$D$33,INDEX($D$94:$D$111,Q$4-MAX($B83,Assumptions!$D$32)+1),INDEX($C$94:$C$111,Q$4-MAX($B83,Assumptions!$D$32)+1)))</f>
        <v>6.7275</v>
      </c>
      <c r="R83" s="12" t="n">
        <f aca="false">IF(OR(R$4&lt;Assumptions!$D$32,R$4&lt;$B83),0,R61*IF(R$4&gt;=Assumptions!$D$33,INDEX($D$94:$D$111,R$4-MAX($B83,Assumptions!$D$32)+1),INDEX($C$94:$C$111,R$4-MAX($B83,Assumptions!$D$32)+1)))</f>
        <v>9.28395</v>
      </c>
      <c r="S83" s="12" t="n">
        <f aca="false">IF(OR(S$4&lt;Assumptions!$D$32,S$4&lt;$B83),0,S61*IF(S$4&gt;=Assumptions!$D$33,INDEX($D$94:$D$111,S$4-MAX($B83,Assumptions!$D$32)+1),INDEX($C$94:$C$111,S$4-MAX($B83,Assumptions!$D$32)+1)))</f>
        <v>14.23539</v>
      </c>
      <c r="T83" s="12" t="n">
        <f aca="false">IF(OR(T$4&lt;Assumptions!$D$32,T$4&lt;$B83),0,T61*IF(T$4&gt;=Assumptions!$D$33,INDEX($D$94:$D$111,T$4-MAX($B83,Assumptions!$D$32)+1),INDEX($C$94:$C$111,T$4-MAX($B83,Assumptions!$D$32)+1)))</f>
        <v>13.620421152</v>
      </c>
      <c r="U83" s="12" t="n">
        <f aca="false">IF(OR(U$4&lt;Assumptions!$D$32,U$4&lt;$B83),0,U61*IF(U$4&gt;=Assumptions!$D$33,INDEX($D$94:$D$111,U$4-MAX($B83,Assumptions!$D$32)+1),INDEX($C$94:$C$111,U$4-MAX($B83,Assumptions!$D$32)+1)))</f>
        <v>12.53078745984</v>
      </c>
    </row>
    <row r="84" customFormat="false" ht="15" hidden="false" customHeight="false" outlineLevel="0" collapsed="false">
      <c r="A84" s="2" t="s">
        <v>279</v>
      </c>
      <c r="B84" s="15" t="n">
        <v>14</v>
      </c>
      <c r="D84" s="12" t="n">
        <f aca="false">IF(OR(D$4&lt;Assumptions!$D$32,D$4&lt;$B84),0,D62*IF(D$4&gt;=Assumptions!$D$33,INDEX($D$94:$D$111,D$4-MAX($B84,Assumptions!$D$32)+1),INDEX($C$94:$C$111,D$4-MAX($B84,Assumptions!$D$32)+1)))</f>
        <v>0</v>
      </c>
      <c r="E84" s="12" t="n">
        <f aca="false">IF(OR(E$4&lt;Assumptions!$D$32,E$4&lt;$B84),0,E62*IF(E$4&gt;=Assumptions!$D$33,INDEX($D$94:$D$111,E$4-MAX($B84,Assumptions!$D$32)+1),INDEX($C$94:$C$111,E$4-MAX($B84,Assumptions!$D$32)+1)))</f>
        <v>0</v>
      </c>
      <c r="F84" s="12" t="n">
        <f aca="false">IF(OR(F$4&lt;Assumptions!$D$32,F$4&lt;$B84),0,F62*IF(F$4&gt;=Assumptions!$D$33,INDEX($D$94:$D$111,F$4-MAX($B84,Assumptions!$D$32)+1),INDEX($C$94:$C$111,F$4-MAX($B84,Assumptions!$D$32)+1)))</f>
        <v>0</v>
      </c>
      <c r="G84" s="12" t="n">
        <f aca="false">IF(OR(G$4&lt;Assumptions!$D$32,G$4&lt;$B84),0,G62*IF(G$4&gt;=Assumptions!$D$33,INDEX($D$94:$D$111,G$4-MAX($B84,Assumptions!$D$32)+1),INDEX($C$94:$C$111,G$4-MAX($B84,Assumptions!$D$32)+1)))</f>
        <v>0</v>
      </c>
      <c r="H84" s="12" t="n">
        <f aca="false">IF(OR(H$4&lt;Assumptions!$D$32,H$4&lt;$B84),0,H62*IF(H$4&gt;=Assumptions!$D$33,INDEX($D$94:$D$111,H$4-MAX($B84,Assumptions!$D$32)+1),INDEX($C$94:$C$111,H$4-MAX($B84,Assumptions!$D$32)+1)))</f>
        <v>0</v>
      </c>
      <c r="I84" s="12" t="n">
        <f aca="false">IF(OR(I$4&lt;Assumptions!$D$32,I$4&lt;$B84),0,I62*IF(I$4&gt;=Assumptions!$D$33,INDEX($D$94:$D$111,I$4-MAX($B84,Assumptions!$D$32)+1),INDEX($C$94:$C$111,I$4-MAX($B84,Assumptions!$D$32)+1)))</f>
        <v>0</v>
      </c>
      <c r="J84" s="12" t="n">
        <f aca="false">IF(OR(J$4&lt;Assumptions!$D$32,J$4&lt;$B84),0,J62*IF(J$4&gt;=Assumptions!$D$33,INDEX($D$94:$D$111,J$4-MAX($B84,Assumptions!$D$32)+1),INDEX($C$94:$C$111,J$4-MAX($B84,Assumptions!$D$32)+1)))</f>
        <v>0</v>
      </c>
      <c r="K84" s="12" t="n">
        <f aca="false">IF(OR(K$4&lt;Assumptions!$D$32,K$4&lt;$B84),0,K62*IF(K$4&gt;=Assumptions!$D$33,INDEX($D$94:$D$111,K$4-MAX($B84,Assumptions!$D$32)+1),INDEX($C$94:$C$111,K$4-MAX($B84,Assumptions!$D$32)+1)))</f>
        <v>0</v>
      </c>
      <c r="L84" s="12" t="n">
        <f aca="false">IF(OR(L$4&lt;Assumptions!$D$32,L$4&lt;$B84),0,L62*IF(L$4&gt;=Assumptions!$D$33,INDEX($D$94:$D$111,L$4-MAX($B84,Assumptions!$D$32)+1),INDEX($C$94:$C$111,L$4-MAX($B84,Assumptions!$D$32)+1)))</f>
        <v>0</v>
      </c>
      <c r="M84" s="12" t="n">
        <f aca="false">IF(OR(M$4&lt;Assumptions!$D$32,M$4&lt;$B84),0,M62*IF(M$4&gt;=Assumptions!$D$33,INDEX($D$94:$D$111,M$4-MAX($B84,Assumptions!$D$32)+1),INDEX($C$94:$C$111,M$4-MAX($B84,Assumptions!$D$32)+1)))</f>
        <v>0</v>
      </c>
      <c r="N84" s="12" t="n">
        <f aca="false">IF(OR(N$4&lt;Assumptions!$D$32,N$4&lt;$B84),0,N62*IF(N$4&gt;=Assumptions!$D$33,INDEX($D$94:$D$111,N$4-MAX($B84,Assumptions!$D$32)+1),INDEX($C$94:$C$111,N$4-MAX($B84,Assumptions!$D$32)+1)))</f>
        <v>0</v>
      </c>
      <c r="O84" s="12" t="n">
        <f aca="false">IF(OR(O$4&lt;Assumptions!$D$32,O$4&lt;$B84),0,O62*IF(O$4&gt;=Assumptions!$D$33,INDEX($D$94:$D$111,O$4-MAX($B84,Assumptions!$D$32)+1),INDEX($C$94:$C$111,O$4-MAX($B84,Assumptions!$D$32)+1)))</f>
        <v>0</v>
      </c>
      <c r="P84" s="12" t="n">
        <f aca="false">IF(OR(P$4&lt;Assumptions!$D$32,P$4&lt;$B84),0,P62*IF(P$4&gt;=Assumptions!$D$33,INDEX($D$94:$D$111,P$4-MAX($B84,Assumptions!$D$32)+1),INDEX($C$94:$C$111,P$4-MAX($B84,Assumptions!$D$32)+1)))</f>
        <v>0</v>
      </c>
      <c r="Q84" s="12" t="n">
        <f aca="false">IF(OR(Q$4&lt;Assumptions!$D$32,Q$4&lt;$B84),0,Q62*IF(Q$4&gt;=Assumptions!$D$33,INDEX($D$94:$D$111,Q$4-MAX($B84,Assumptions!$D$32)+1),INDEX($C$94:$C$111,Q$4-MAX($B84,Assumptions!$D$32)+1)))</f>
        <v>3.046875</v>
      </c>
      <c r="R84" s="12" t="n">
        <f aca="false">IF(OR(R$4&lt;Assumptions!$D$32,R$4&lt;$B84),0,R62*IF(R$4&gt;=Assumptions!$D$33,INDEX($D$94:$D$111,R$4-MAX($B84,Assumptions!$D$32)+1),INDEX($C$94:$C$111,R$4-MAX($B84,Assumptions!$D$32)+1)))</f>
        <v>5.60625</v>
      </c>
      <c r="S84" s="12" t="n">
        <f aca="false">IF(OR(S$4&lt;Assumptions!$D$32,S$4&lt;$B84),0,S62*IF(S$4&gt;=Assumptions!$D$33,INDEX($D$94:$D$111,S$4-MAX($B84,Assumptions!$D$32)+1),INDEX($C$94:$C$111,S$4-MAX($B84,Assumptions!$D$32)+1)))</f>
        <v>7.736625</v>
      </c>
      <c r="T84" s="12" t="n">
        <f aca="false">IF(OR(T$4&lt;Assumptions!$D$32,T$4&lt;$B84),0,T62*IF(T$4&gt;=Assumptions!$D$33,INDEX($D$94:$D$111,T$4-MAX($B84,Assumptions!$D$32)+1),INDEX($C$94:$C$111,T$4-MAX($B84,Assumptions!$D$32)+1)))</f>
        <v>11.862825</v>
      </c>
      <c r="U84" s="12" t="n">
        <f aca="false">IF(OR(U$4&lt;Assumptions!$D$32,U$4&lt;$B84),0,U62*IF(U$4&gt;=Assumptions!$D$33,INDEX($D$94:$D$111,U$4-MAX($B84,Assumptions!$D$32)+1),INDEX($C$94:$C$111,U$4-MAX($B84,Assumptions!$D$32)+1)))</f>
        <v>11.35035096</v>
      </c>
    </row>
    <row r="85" customFormat="false" ht="15" hidden="false" customHeight="false" outlineLevel="0" collapsed="false">
      <c r="A85" s="2" t="s">
        <v>280</v>
      </c>
      <c r="B85" s="15" t="n">
        <v>15</v>
      </c>
      <c r="D85" s="12" t="n">
        <f aca="false">IF(OR(D$4&lt;Assumptions!$D$32,D$4&lt;$B85),0,D63*IF(D$4&gt;=Assumptions!$D$33,INDEX($D$94:$D$111,D$4-MAX($B85,Assumptions!$D$32)+1),INDEX($C$94:$C$111,D$4-MAX($B85,Assumptions!$D$32)+1)))</f>
        <v>0</v>
      </c>
      <c r="E85" s="12" t="n">
        <f aca="false">IF(OR(E$4&lt;Assumptions!$D$32,E$4&lt;$B85),0,E63*IF(E$4&gt;=Assumptions!$D$33,INDEX($D$94:$D$111,E$4-MAX($B85,Assumptions!$D$32)+1),INDEX($C$94:$C$111,E$4-MAX($B85,Assumptions!$D$32)+1)))</f>
        <v>0</v>
      </c>
      <c r="F85" s="12" t="n">
        <f aca="false">IF(OR(F$4&lt;Assumptions!$D$32,F$4&lt;$B85),0,F63*IF(F$4&gt;=Assumptions!$D$33,INDEX($D$94:$D$111,F$4-MAX($B85,Assumptions!$D$32)+1),INDEX($C$94:$C$111,F$4-MAX($B85,Assumptions!$D$32)+1)))</f>
        <v>0</v>
      </c>
      <c r="G85" s="12" t="n">
        <f aca="false">IF(OR(G$4&lt;Assumptions!$D$32,G$4&lt;$B85),0,G63*IF(G$4&gt;=Assumptions!$D$33,INDEX($D$94:$D$111,G$4-MAX($B85,Assumptions!$D$32)+1),INDEX($C$94:$C$111,G$4-MAX($B85,Assumptions!$D$32)+1)))</f>
        <v>0</v>
      </c>
      <c r="H85" s="12" t="n">
        <f aca="false">IF(OR(H$4&lt;Assumptions!$D$32,H$4&lt;$B85),0,H63*IF(H$4&gt;=Assumptions!$D$33,INDEX($D$94:$D$111,H$4-MAX($B85,Assumptions!$D$32)+1),INDEX($C$94:$C$111,H$4-MAX($B85,Assumptions!$D$32)+1)))</f>
        <v>0</v>
      </c>
      <c r="I85" s="12" t="n">
        <f aca="false">IF(OR(I$4&lt;Assumptions!$D$32,I$4&lt;$B85),0,I63*IF(I$4&gt;=Assumptions!$D$33,INDEX($D$94:$D$111,I$4-MAX($B85,Assumptions!$D$32)+1),INDEX($C$94:$C$111,I$4-MAX($B85,Assumptions!$D$32)+1)))</f>
        <v>0</v>
      </c>
      <c r="J85" s="12" t="n">
        <f aca="false">IF(OR(J$4&lt;Assumptions!$D$32,J$4&lt;$B85),0,J63*IF(J$4&gt;=Assumptions!$D$33,INDEX($D$94:$D$111,J$4-MAX($B85,Assumptions!$D$32)+1),INDEX($C$94:$C$111,J$4-MAX($B85,Assumptions!$D$32)+1)))</f>
        <v>0</v>
      </c>
      <c r="K85" s="12" t="n">
        <f aca="false">IF(OR(K$4&lt;Assumptions!$D$32,K$4&lt;$B85),0,K63*IF(K$4&gt;=Assumptions!$D$33,INDEX($D$94:$D$111,K$4-MAX($B85,Assumptions!$D$32)+1),INDEX($C$94:$C$111,K$4-MAX($B85,Assumptions!$D$32)+1)))</f>
        <v>0</v>
      </c>
      <c r="L85" s="12" t="n">
        <f aca="false">IF(OR(L$4&lt;Assumptions!$D$32,L$4&lt;$B85),0,L63*IF(L$4&gt;=Assumptions!$D$33,INDEX($D$94:$D$111,L$4-MAX($B85,Assumptions!$D$32)+1),INDEX($C$94:$C$111,L$4-MAX($B85,Assumptions!$D$32)+1)))</f>
        <v>0</v>
      </c>
      <c r="M85" s="12" t="n">
        <f aca="false">IF(OR(M$4&lt;Assumptions!$D$32,M$4&lt;$B85),0,M63*IF(M$4&gt;=Assumptions!$D$33,INDEX($D$94:$D$111,M$4-MAX($B85,Assumptions!$D$32)+1),INDEX($C$94:$C$111,M$4-MAX($B85,Assumptions!$D$32)+1)))</f>
        <v>0</v>
      </c>
      <c r="N85" s="12" t="n">
        <f aca="false">IF(OR(N$4&lt;Assumptions!$D$32,N$4&lt;$B85),0,N63*IF(N$4&gt;=Assumptions!$D$33,INDEX($D$94:$D$111,N$4-MAX($B85,Assumptions!$D$32)+1),INDEX($C$94:$C$111,N$4-MAX($B85,Assumptions!$D$32)+1)))</f>
        <v>0</v>
      </c>
      <c r="O85" s="12" t="n">
        <f aca="false">IF(OR(O$4&lt;Assumptions!$D$32,O$4&lt;$B85),0,O63*IF(O$4&gt;=Assumptions!$D$33,INDEX($D$94:$D$111,O$4-MAX($B85,Assumptions!$D$32)+1),INDEX($C$94:$C$111,O$4-MAX($B85,Assumptions!$D$32)+1)))</f>
        <v>0</v>
      </c>
      <c r="P85" s="12" t="n">
        <f aca="false">IF(OR(P$4&lt;Assumptions!$D$32,P$4&lt;$B85),0,P63*IF(P$4&gt;=Assumptions!$D$33,INDEX($D$94:$D$111,P$4-MAX($B85,Assumptions!$D$32)+1),INDEX($C$94:$C$111,P$4-MAX($B85,Assumptions!$D$32)+1)))</f>
        <v>0</v>
      </c>
      <c r="Q85" s="12" t="n">
        <f aca="false">IF(OR(Q$4&lt;Assumptions!$D$32,Q$4&lt;$B85),0,Q63*IF(Q$4&gt;=Assumptions!$D$33,INDEX($D$94:$D$111,Q$4-MAX($B85,Assumptions!$D$32)+1),INDEX($C$94:$C$111,Q$4-MAX($B85,Assumptions!$D$32)+1)))</f>
        <v>0</v>
      </c>
      <c r="R85" s="12" t="n">
        <f aca="false">IF(OR(R$4&lt;Assumptions!$D$32,R$4&lt;$B85),0,R63*IF(R$4&gt;=Assumptions!$D$33,INDEX($D$94:$D$111,R$4-MAX($B85,Assumptions!$D$32)+1),INDEX($C$94:$C$111,R$4-MAX($B85,Assumptions!$D$32)+1)))</f>
        <v>3.046875</v>
      </c>
      <c r="S85" s="12" t="n">
        <f aca="false">IF(OR(S$4&lt;Assumptions!$D$32,S$4&lt;$B85),0,S63*IF(S$4&gt;=Assumptions!$D$33,INDEX($D$94:$D$111,S$4-MAX($B85,Assumptions!$D$32)+1),INDEX($C$94:$C$111,S$4-MAX($B85,Assumptions!$D$32)+1)))</f>
        <v>5.60625</v>
      </c>
      <c r="T85" s="12" t="n">
        <f aca="false">IF(OR(T$4&lt;Assumptions!$D$32,T$4&lt;$B85),0,T63*IF(T$4&gt;=Assumptions!$D$33,INDEX($D$94:$D$111,T$4-MAX($B85,Assumptions!$D$32)+1),INDEX($C$94:$C$111,T$4-MAX($B85,Assumptions!$D$32)+1)))</f>
        <v>7.736625</v>
      </c>
      <c r="U85" s="12" t="n">
        <f aca="false">IF(OR(U$4&lt;Assumptions!$D$32,U$4&lt;$B85),0,U63*IF(U$4&gt;=Assumptions!$D$33,INDEX($D$94:$D$111,U$4-MAX($B85,Assumptions!$D$32)+1),INDEX($C$94:$C$111,U$4-MAX($B85,Assumptions!$D$32)+1)))</f>
        <v>11.862825</v>
      </c>
    </row>
    <row r="86" customFormat="false" ht="15" hidden="false" customHeight="false" outlineLevel="0" collapsed="false">
      <c r="A86" s="2" t="s">
        <v>281</v>
      </c>
      <c r="B86" s="15" t="n">
        <v>16</v>
      </c>
      <c r="D86" s="12" t="n">
        <f aca="false">IF(OR(D$4&lt;Assumptions!$D$32,D$4&lt;$B86),0,D64*IF(D$4&gt;=Assumptions!$D$33,INDEX($D$94:$D$111,D$4-MAX($B86,Assumptions!$D$32)+1),INDEX($C$94:$C$111,D$4-MAX($B86,Assumptions!$D$32)+1)))</f>
        <v>0</v>
      </c>
      <c r="E86" s="12" t="n">
        <f aca="false">IF(OR(E$4&lt;Assumptions!$D$32,E$4&lt;$B86),0,E64*IF(E$4&gt;=Assumptions!$D$33,INDEX($D$94:$D$111,E$4-MAX($B86,Assumptions!$D$32)+1),INDEX($C$94:$C$111,E$4-MAX($B86,Assumptions!$D$32)+1)))</f>
        <v>0</v>
      </c>
      <c r="F86" s="12" t="n">
        <f aca="false">IF(OR(F$4&lt;Assumptions!$D$32,F$4&lt;$B86),0,F64*IF(F$4&gt;=Assumptions!$D$33,INDEX($D$94:$D$111,F$4-MAX($B86,Assumptions!$D$32)+1),INDEX($C$94:$C$111,F$4-MAX($B86,Assumptions!$D$32)+1)))</f>
        <v>0</v>
      </c>
      <c r="G86" s="12" t="n">
        <f aca="false">IF(OR(G$4&lt;Assumptions!$D$32,G$4&lt;$B86),0,G64*IF(G$4&gt;=Assumptions!$D$33,INDEX($D$94:$D$111,G$4-MAX($B86,Assumptions!$D$32)+1),INDEX($C$94:$C$111,G$4-MAX($B86,Assumptions!$D$32)+1)))</f>
        <v>0</v>
      </c>
      <c r="H86" s="12" t="n">
        <f aca="false">IF(OR(H$4&lt;Assumptions!$D$32,H$4&lt;$B86),0,H64*IF(H$4&gt;=Assumptions!$D$33,INDEX($D$94:$D$111,H$4-MAX($B86,Assumptions!$D$32)+1),INDEX($C$94:$C$111,H$4-MAX($B86,Assumptions!$D$32)+1)))</f>
        <v>0</v>
      </c>
      <c r="I86" s="12" t="n">
        <f aca="false">IF(OR(I$4&lt;Assumptions!$D$32,I$4&lt;$B86),0,I64*IF(I$4&gt;=Assumptions!$D$33,INDEX($D$94:$D$111,I$4-MAX($B86,Assumptions!$D$32)+1),INDEX($C$94:$C$111,I$4-MAX($B86,Assumptions!$D$32)+1)))</f>
        <v>0</v>
      </c>
      <c r="J86" s="12" t="n">
        <f aca="false">IF(OR(J$4&lt;Assumptions!$D$32,J$4&lt;$B86),0,J64*IF(J$4&gt;=Assumptions!$D$33,INDEX($D$94:$D$111,J$4-MAX($B86,Assumptions!$D$32)+1),INDEX($C$94:$C$111,J$4-MAX($B86,Assumptions!$D$32)+1)))</f>
        <v>0</v>
      </c>
      <c r="K86" s="12" t="n">
        <f aca="false">IF(OR(K$4&lt;Assumptions!$D$32,K$4&lt;$B86),0,K64*IF(K$4&gt;=Assumptions!$D$33,INDEX($D$94:$D$111,K$4-MAX($B86,Assumptions!$D$32)+1),INDEX($C$94:$C$111,K$4-MAX($B86,Assumptions!$D$32)+1)))</f>
        <v>0</v>
      </c>
      <c r="L86" s="12" t="n">
        <f aca="false">IF(OR(L$4&lt;Assumptions!$D$32,L$4&lt;$B86),0,L64*IF(L$4&gt;=Assumptions!$D$33,INDEX($D$94:$D$111,L$4-MAX($B86,Assumptions!$D$32)+1),INDEX($C$94:$C$111,L$4-MAX($B86,Assumptions!$D$32)+1)))</f>
        <v>0</v>
      </c>
      <c r="M86" s="12" t="n">
        <f aca="false">IF(OR(M$4&lt;Assumptions!$D$32,M$4&lt;$B86),0,M64*IF(M$4&gt;=Assumptions!$D$33,INDEX($D$94:$D$111,M$4-MAX($B86,Assumptions!$D$32)+1),INDEX($C$94:$C$111,M$4-MAX($B86,Assumptions!$D$32)+1)))</f>
        <v>0</v>
      </c>
      <c r="N86" s="12" t="n">
        <f aca="false">IF(OR(N$4&lt;Assumptions!$D$32,N$4&lt;$B86),0,N64*IF(N$4&gt;=Assumptions!$D$33,INDEX($D$94:$D$111,N$4-MAX($B86,Assumptions!$D$32)+1),INDEX($C$94:$C$111,N$4-MAX($B86,Assumptions!$D$32)+1)))</f>
        <v>0</v>
      </c>
      <c r="O86" s="12" t="n">
        <f aca="false">IF(OR(O$4&lt;Assumptions!$D$32,O$4&lt;$B86),0,O64*IF(O$4&gt;=Assumptions!$D$33,INDEX($D$94:$D$111,O$4-MAX($B86,Assumptions!$D$32)+1),INDEX($C$94:$C$111,O$4-MAX($B86,Assumptions!$D$32)+1)))</f>
        <v>0</v>
      </c>
      <c r="P86" s="12" t="n">
        <f aca="false">IF(OR(P$4&lt;Assumptions!$D$32,P$4&lt;$B86),0,P64*IF(P$4&gt;=Assumptions!$D$33,INDEX($D$94:$D$111,P$4-MAX($B86,Assumptions!$D$32)+1),INDEX($C$94:$C$111,P$4-MAX($B86,Assumptions!$D$32)+1)))</f>
        <v>0</v>
      </c>
      <c r="Q86" s="12" t="n">
        <f aca="false">IF(OR(Q$4&lt;Assumptions!$D$32,Q$4&lt;$B86),0,Q64*IF(Q$4&gt;=Assumptions!$D$33,INDEX($D$94:$D$111,Q$4-MAX($B86,Assumptions!$D$32)+1),INDEX($C$94:$C$111,Q$4-MAX($B86,Assumptions!$D$32)+1)))</f>
        <v>0</v>
      </c>
      <c r="R86" s="12" t="n">
        <f aca="false">IF(OR(R$4&lt;Assumptions!$D$32,R$4&lt;$B86),0,R64*IF(R$4&gt;=Assumptions!$D$33,INDEX($D$94:$D$111,R$4-MAX($B86,Assumptions!$D$32)+1),INDEX($C$94:$C$111,R$4-MAX($B86,Assumptions!$D$32)+1)))</f>
        <v>0</v>
      </c>
      <c r="S86" s="12" t="n">
        <f aca="false">IF(OR(S$4&lt;Assumptions!$D$32,S$4&lt;$B86),0,S64*IF(S$4&gt;=Assumptions!$D$33,INDEX($D$94:$D$111,S$4-MAX($B86,Assumptions!$D$32)+1),INDEX($C$94:$C$111,S$4-MAX($B86,Assumptions!$D$32)+1)))</f>
        <v>3.046875</v>
      </c>
      <c r="T86" s="12" t="n">
        <f aca="false">IF(OR(T$4&lt;Assumptions!$D$32,T$4&lt;$B86),0,T64*IF(T$4&gt;=Assumptions!$D$33,INDEX($D$94:$D$111,T$4-MAX($B86,Assumptions!$D$32)+1),INDEX($C$94:$C$111,T$4-MAX($B86,Assumptions!$D$32)+1)))</f>
        <v>5.60625</v>
      </c>
      <c r="U86" s="12" t="n">
        <f aca="false">IF(OR(U$4&lt;Assumptions!$D$32,U$4&lt;$B86),0,U64*IF(U$4&gt;=Assumptions!$D$33,INDEX($D$94:$D$111,U$4-MAX($B86,Assumptions!$D$32)+1),INDEX($C$94:$C$111,U$4-MAX($B86,Assumptions!$D$32)+1)))</f>
        <v>7.736625</v>
      </c>
    </row>
    <row r="87" customFormat="false" ht="15" hidden="false" customHeight="false" outlineLevel="0" collapsed="false">
      <c r="A87" s="2" t="s">
        <v>282</v>
      </c>
      <c r="B87" s="15" t="n">
        <v>17</v>
      </c>
      <c r="D87" s="12" t="n">
        <f aca="false">IF(OR(D$4&lt;Assumptions!$D$32,D$4&lt;$B87),0,D65*IF(D$4&gt;=Assumptions!$D$33,INDEX($D$94:$D$111,D$4-MAX($B87,Assumptions!$D$32)+1),INDEX($C$94:$C$111,D$4-MAX($B87,Assumptions!$D$32)+1)))</f>
        <v>0</v>
      </c>
      <c r="E87" s="12" t="n">
        <f aca="false">IF(OR(E$4&lt;Assumptions!$D$32,E$4&lt;$B87),0,E65*IF(E$4&gt;=Assumptions!$D$33,INDEX($D$94:$D$111,E$4-MAX($B87,Assumptions!$D$32)+1),INDEX($C$94:$C$111,E$4-MAX($B87,Assumptions!$D$32)+1)))</f>
        <v>0</v>
      </c>
      <c r="F87" s="12" t="n">
        <f aca="false">IF(OR(F$4&lt;Assumptions!$D$32,F$4&lt;$B87),0,F65*IF(F$4&gt;=Assumptions!$D$33,INDEX($D$94:$D$111,F$4-MAX($B87,Assumptions!$D$32)+1),INDEX($C$94:$C$111,F$4-MAX($B87,Assumptions!$D$32)+1)))</f>
        <v>0</v>
      </c>
      <c r="G87" s="12" t="n">
        <f aca="false">IF(OR(G$4&lt;Assumptions!$D$32,G$4&lt;$B87),0,G65*IF(G$4&gt;=Assumptions!$D$33,INDEX($D$94:$D$111,G$4-MAX($B87,Assumptions!$D$32)+1),INDEX($C$94:$C$111,G$4-MAX($B87,Assumptions!$D$32)+1)))</f>
        <v>0</v>
      </c>
      <c r="H87" s="12" t="n">
        <f aca="false">IF(OR(H$4&lt;Assumptions!$D$32,H$4&lt;$B87),0,H65*IF(H$4&gt;=Assumptions!$D$33,INDEX($D$94:$D$111,H$4-MAX($B87,Assumptions!$D$32)+1),INDEX($C$94:$C$111,H$4-MAX($B87,Assumptions!$D$32)+1)))</f>
        <v>0</v>
      </c>
      <c r="I87" s="12" t="n">
        <f aca="false">IF(OR(I$4&lt;Assumptions!$D$32,I$4&lt;$B87),0,I65*IF(I$4&gt;=Assumptions!$D$33,INDEX($D$94:$D$111,I$4-MAX($B87,Assumptions!$D$32)+1),INDEX($C$94:$C$111,I$4-MAX($B87,Assumptions!$D$32)+1)))</f>
        <v>0</v>
      </c>
      <c r="J87" s="12" t="n">
        <f aca="false">IF(OR(J$4&lt;Assumptions!$D$32,J$4&lt;$B87),0,J65*IF(J$4&gt;=Assumptions!$D$33,INDEX($D$94:$D$111,J$4-MAX($B87,Assumptions!$D$32)+1),INDEX($C$94:$C$111,J$4-MAX($B87,Assumptions!$D$32)+1)))</f>
        <v>0</v>
      </c>
      <c r="K87" s="12" t="n">
        <f aca="false">IF(OR(K$4&lt;Assumptions!$D$32,K$4&lt;$B87),0,K65*IF(K$4&gt;=Assumptions!$D$33,INDEX($D$94:$D$111,K$4-MAX($B87,Assumptions!$D$32)+1),INDEX($C$94:$C$111,K$4-MAX($B87,Assumptions!$D$32)+1)))</f>
        <v>0</v>
      </c>
      <c r="L87" s="12" t="n">
        <f aca="false">IF(OR(L$4&lt;Assumptions!$D$32,L$4&lt;$B87),0,L65*IF(L$4&gt;=Assumptions!$D$33,INDEX($D$94:$D$111,L$4-MAX($B87,Assumptions!$D$32)+1),INDEX($C$94:$C$111,L$4-MAX($B87,Assumptions!$D$32)+1)))</f>
        <v>0</v>
      </c>
      <c r="M87" s="12" t="n">
        <f aca="false">IF(OR(M$4&lt;Assumptions!$D$32,M$4&lt;$B87),0,M65*IF(M$4&gt;=Assumptions!$D$33,INDEX($D$94:$D$111,M$4-MAX($B87,Assumptions!$D$32)+1),INDEX($C$94:$C$111,M$4-MAX($B87,Assumptions!$D$32)+1)))</f>
        <v>0</v>
      </c>
      <c r="N87" s="12" t="n">
        <f aca="false">IF(OR(N$4&lt;Assumptions!$D$32,N$4&lt;$B87),0,N65*IF(N$4&gt;=Assumptions!$D$33,INDEX($D$94:$D$111,N$4-MAX($B87,Assumptions!$D$32)+1),INDEX($C$94:$C$111,N$4-MAX($B87,Assumptions!$D$32)+1)))</f>
        <v>0</v>
      </c>
      <c r="O87" s="12" t="n">
        <f aca="false">IF(OR(O$4&lt;Assumptions!$D$32,O$4&lt;$B87),0,O65*IF(O$4&gt;=Assumptions!$D$33,INDEX($D$94:$D$111,O$4-MAX($B87,Assumptions!$D$32)+1),INDEX($C$94:$C$111,O$4-MAX($B87,Assumptions!$D$32)+1)))</f>
        <v>0</v>
      </c>
      <c r="P87" s="12" t="n">
        <f aca="false">IF(OR(P$4&lt;Assumptions!$D$32,P$4&lt;$B87),0,P65*IF(P$4&gt;=Assumptions!$D$33,INDEX($D$94:$D$111,P$4-MAX($B87,Assumptions!$D$32)+1),INDEX($C$94:$C$111,P$4-MAX($B87,Assumptions!$D$32)+1)))</f>
        <v>0</v>
      </c>
      <c r="Q87" s="12" t="n">
        <f aca="false">IF(OR(Q$4&lt;Assumptions!$D$32,Q$4&lt;$B87),0,Q65*IF(Q$4&gt;=Assumptions!$D$33,INDEX($D$94:$D$111,Q$4-MAX($B87,Assumptions!$D$32)+1),INDEX($C$94:$C$111,Q$4-MAX($B87,Assumptions!$D$32)+1)))</f>
        <v>0</v>
      </c>
      <c r="R87" s="12" t="n">
        <f aca="false">IF(OR(R$4&lt;Assumptions!$D$32,R$4&lt;$B87),0,R65*IF(R$4&gt;=Assumptions!$D$33,INDEX($D$94:$D$111,R$4-MAX($B87,Assumptions!$D$32)+1),INDEX($C$94:$C$111,R$4-MAX($B87,Assumptions!$D$32)+1)))</f>
        <v>0</v>
      </c>
      <c r="S87" s="12" t="n">
        <f aca="false">IF(OR(S$4&lt;Assumptions!$D$32,S$4&lt;$B87),0,S65*IF(S$4&gt;=Assumptions!$D$33,INDEX($D$94:$D$111,S$4-MAX($B87,Assumptions!$D$32)+1),INDEX($C$94:$C$111,S$4-MAX($B87,Assumptions!$D$32)+1)))</f>
        <v>0</v>
      </c>
      <c r="T87" s="12" t="n">
        <f aca="false">IF(OR(T$4&lt;Assumptions!$D$32,T$4&lt;$B87),0,T65*IF(T$4&gt;=Assumptions!$D$33,INDEX($D$94:$D$111,T$4-MAX($B87,Assumptions!$D$32)+1),INDEX($C$94:$C$111,T$4-MAX($B87,Assumptions!$D$32)+1)))</f>
        <v>2.4375</v>
      </c>
      <c r="U87" s="12" t="n">
        <f aca="false">IF(OR(U$4&lt;Assumptions!$D$32,U$4&lt;$B87),0,U65*IF(U$4&gt;=Assumptions!$D$33,INDEX($D$94:$D$111,U$4-MAX($B87,Assumptions!$D$32)+1),INDEX($C$94:$C$111,U$4-MAX($B87,Assumptions!$D$32)+1)))</f>
        <v>4.485</v>
      </c>
    </row>
    <row r="88" customFormat="false" ht="15" hidden="false" customHeight="false" outlineLevel="0" collapsed="false">
      <c r="A88" s="2" t="s">
        <v>283</v>
      </c>
      <c r="B88" s="15" t="n">
        <v>18</v>
      </c>
      <c r="D88" s="12" t="n">
        <f aca="false">IF(OR(D$4&lt;Assumptions!$D$32,D$4&lt;$B88),0,D66*IF(D$4&gt;=Assumptions!$D$33,INDEX($D$94:$D$111,D$4-MAX($B88,Assumptions!$D$32)+1),INDEX($C$94:$C$111,D$4-MAX($B88,Assumptions!$D$32)+1)))</f>
        <v>0</v>
      </c>
      <c r="E88" s="12" t="n">
        <f aca="false">IF(OR(E$4&lt;Assumptions!$D$32,E$4&lt;$B88),0,E66*IF(E$4&gt;=Assumptions!$D$33,INDEX($D$94:$D$111,E$4-MAX($B88,Assumptions!$D$32)+1),INDEX($C$94:$C$111,E$4-MAX($B88,Assumptions!$D$32)+1)))</f>
        <v>0</v>
      </c>
      <c r="F88" s="12" t="n">
        <f aca="false">IF(OR(F$4&lt;Assumptions!$D$32,F$4&lt;$B88),0,F66*IF(F$4&gt;=Assumptions!$D$33,INDEX($D$94:$D$111,F$4-MAX($B88,Assumptions!$D$32)+1),INDEX($C$94:$C$111,F$4-MAX($B88,Assumptions!$D$32)+1)))</f>
        <v>0</v>
      </c>
      <c r="G88" s="12" t="n">
        <f aca="false">IF(OR(G$4&lt;Assumptions!$D$32,G$4&lt;$B88),0,G66*IF(G$4&gt;=Assumptions!$D$33,INDEX($D$94:$D$111,G$4-MAX($B88,Assumptions!$D$32)+1),INDEX($C$94:$C$111,G$4-MAX($B88,Assumptions!$D$32)+1)))</f>
        <v>0</v>
      </c>
      <c r="H88" s="12" t="n">
        <f aca="false">IF(OR(H$4&lt;Assumptions!$D$32,H$4&lt;$B88),0,H66*IF(H$4&gt;=Assumptions!$D$33,INDEX($D$94:$D$111,H$4-MAX($B88,Assumptions!$D$32)+1),INDEX($C$94:$C$111,H$4-MAX($B88,Assumptions!$D$32)+1)))</f>
        <v>0</v>
      </c>
      <c r="I88" s="12" t="n">
        <f aca="false">IF(OR(I$4&lt;Assumptions!$D$32,I$4&lt;$B88),0,I66*IF(I$4&gt;=Assumptions!$D$33,INDEX($D$94:$D$111,I$4-MAX($B88,Assumptions!$D$32)+1),INDEX($C$94:$C$111,I$4-MAX($B88,Assumptions!$D$32)+1)))</f>
        <v>0</v>
      </c>
      <c r="J88" s="12" t="n">
        <f aca="false">IF(OR(J$4&lt;Assumptions!$D$32,J$4&lt;$B88),0,J66*IF(J$4&gt;=Assumptions!$D$33,INDEX($D$94:$D$111,J$4-MAX($B88,Assumptions!$D$32)+1),INDEX($C$94:$C$111,J$4-MAX($B88,Assumptions!$D$32)+1)))</f>
        <v>0</v>
      </c>
      <c r="K88" s="12" t="n">
        <f aca="false">IF(OR(K$4&lt;Assumptions!$D$32,K$4&lt;$B88),0,K66*IF(K$4&gt;=Assumptions!$D$33,INDEX($D$94:$D$111,K$4-MAX($B88,Assumptions!$D$32)+1),INDEX($C$94:$C$111,K$4-MAX($B88,Assumptions!$D$32)+1)))</f>
        <v>0</v>
      </c>
      <c r="L88" s="12" t="n">
        <f aca="false">IF(OR(L$4&lt;Assumptions!$D$32,L$4&lt;$B88),0,L66*IF(L$4&gt;=Assumptions!$D$33,INDEX($D$94:$D$111,L$4-MAX($B88,Assumptions!$D$32)+1),INDEX($C$94:$C$111,L$4-MAX($B88,Assumptions!$D$32)+1)))</f>
        <v>0</v>
      </c>
      <c r="M88" s="12" t="n">
        <f aca="false">IF(OR(M$4&lt;Assumptions!$D$32,M$4&lt;$B88),0,M66*IF(M$4&gt;=Assumptions!$D$33,INDEX($D$94:$D$111,M$4-MAX($B88,Assumptions!$D$32)+1),INDEX($C$94:$C$111,M$4-MAX($B88,Assumptions!$D$32)+1)))</f>
        <v>0</v>
      </c>
      <c r="N88" s="12" t="n">
        <f aca="false">IF(OR(N$4&lt;Assumptions!$D$32,N$4&lt;$B88),0,N66*IF(N$4&gt;=Assumptions!$D$33,INDEX($D$94:$D$111,N$4-MAX($B88,Assumptions!$D$32)+1),INDEX($C$94:$C$111,N$4-MAX($B88,Assumptions!$D$32)+1)))</f>
        <v>0</v>
      </c>
      <c r="O88" s="12" t="n">
        <f aca="false">IF(OR(O$4&lt;Assumptions!$D$32,O$4&lt;$B88),0,O66*IF(O$4&gt;=Assumptions!$D$33,INDEX($D$94:$D$111,O$4-MAX($B88,Assumptions!$D$32)+1),INDEX($C$94:$C$111,O$4-MAX($B88,Assumptions!$D$32)+1)))</f>
        <v>0</v>
      </c>
      <c r="P88" s="12" t="n">
        <f aca="false">IF(OR(P$4&lt;Assumptions!$D$32,P$4&lt;$B88),0,P66*IF(P$4&gt;=Assumptions!$D$33,INDEX($D$94:$D$111,P$4-MAX($B88,Assumptions!$D$32)+1),INDEX($C$94:$C$111,P$4-MAX($B88,Assumptions!$D$32)+1)))</f>
        <v>0</v>
      </c>
      <c r="Q88" s="12" t="n">
        <f aca="false">IF(OR(Q$4&lt;Assumptions!$D$32,Q$4&lt;$B88),0,Q66*IF(Q$4&gt;=Assumptions!$D$33,INDEX($D$94:$D$111,Q$4-MAX($B88,Assumptions!$D$32)+1),INDEX($C$94:$C$111,Q$4-MAX($B88,Assumptions!$D$32)+1)))</f>
        <v>0</v>
      </c>
      <c r="R88" s="12" t="n">
        <f aca="false">IF(OR(R$4&lt;Assumptions!$D$32,R$4&lt;$B88),0,R66*IF(R$4&gt;=Assumptions!$D$33,INDEX($D$94:$D$111,R$4-MAX($B88,Assumptions!$D$32)+1),INDEX($C$94:$C$111,R$4-MAX($B88,Assumptions!$D$32)+1)))</f>
        <v>0</v>
      </c>
      <c r="S88" s="12" t="n">
        <f aca="false">IF(OR(S$4&lt;Assumptions!$D$32,S$4&lt;$B88),0,S66*IF(S$4&gt;=Assumptions!$D$33,INDEX($D$94:$D$111,S$4-MAX($B88,Assumptions!$D$32)+1),INDEX($C$94:$C$111,S$4-MAX($B88,Assumptions!$D$32)+1)))</f>
        <v>0</v>
      </c>
      <c r="T88" s="12" t="n">
        <f aca="false">IF(OR(T$4&lt;Assumptions!$D$32,T$4&lt;$B88),0,T66*IF(T$4&gt;=Assumptions!$D$33,INDEX($D$94:$D$111,T$4-MAX($B88,Assumptions!$D$32)+1),INDEX($C$94:$C$111,T$4-MAX($B88,Assumptions!$D$32)+1)))</f>
        <v>0</v>
      </c>
      <c r="U88" s="12" t="n">
        <f aca="false">IF(OR(U$4&lt;Assumptions!$D$32,U$4&lt;$B88),0,U66*IF(U$4&gt;=Assumptions!$D$33,INDEX($D$94:$D$111,U$4-MAX($B88,Assumptions!$D$32)+1),INDEX($C$94:$C$111,U$4-MAX($B88,Assumptions!$D$32)+1)))</f>
        <v>2.4375</v>
      </c>
    </row>
    <row r="92" customFormat="false" ht="15" hidden="false" customHeight="false" outlineLevel="0" collapsed="false">
      <c r="A92" s="6" t="s">
        <v>285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customFormat="false" ht="23.85" hidden="false" customHeight="false" outlineLevel="0" collapsed="false">
      <c r="A93" s="5" t="s">
        <v>286</v>
      </c>
      <c r="B93" s="5" t="s">
        <v>287</v>
      </c>
      <c r="C93" s="5" t="s">
        <v>288</v>
      </c>
      <c r="D93" s="5" t="s">
        <v>289</v>
      </c>
    </row>
    <row r="94" customFormat="false" ht="15" hidden="false" customHeight="false" outlineLevel="0" collapsed="false">
      <c r="A94" s="2" t="s">
        <v>290</v>
      </c>
      <c r="B94" s="15" t="n">
        <v>1</v>
      </c>
      <c r="C94" s="19" t="n">
        <f aca="false">Assumptions!$D$36*IF($B94&lt;=3,INDEX(Assumptions!$C$48:$C$53,$B94),INDEX(Assumptions!$C$48:$C$53,4))</f>
        <v>0.000325</v>
      </c>
      <c r="D94" s="19" t="n">
        <f aca="false">Assumptions!$D$36*IF($B94&lt;=3,INDEX(Assumptions!$C$48:$C$53,$B94),IF($B94&lt;5,INDEX(Assumptions!$C$48:$C$53,4),IF($B94&lt;8,(1-Assumptions!$D$37)*INDEX(Assumptions!$C$48:$C$53,4)+Assumptions!$D$37*INDEX(Assumptions!$C$48:$C$53,5),(1-Assumptions!$D$37)*INDEX(Assumptions!$C$48:$C$53,4)+Assumptions!$D$37*INDEX(Assumptions!$C$48:$C$53,6))))</f>
        <v>0.000325</v>
      </c>
    </row>
    <row r="95" customFormat="false" ht="15" hidden="false" customHeight="false" outlineLevel="0" collapsed="false">
      <c r="A95" s="2" t="s">
        <v>291</v>
      </c>
      <c r="B95" s="15" t="n">
        <v>2</v>
      </c>
      <c r="C95" s="19" t="n">
        <f aca="false">Assumptions!$D$36*IF($B95&lt;=3,INDEX(Assumptions!$C$48:$C$53,$B95),INDEX(Assumptions!$C$48:$C$53,4))</f>
        <v>0.00065</v>
      </c>
      <c r="D95" s="19" t="n">
        <f aca="false">Assumptions!$D$36*IF($B95&lt;=3,INDEX(Assumptions!$C$48:$C$53,$B95),IF($B95&lt;5,INDEX(Assumptions!$C$48:$C$53,4),IF($B95&lt;8,(1-Assumptions!$D$37)*INDEX(Assumptions!$C$48:$C$53,4)+Assumptions!$D$37*INDEX(Assumptions!$C$48:$C$53,5),(1-Assumptions!$D$37)*INDEX(Assumptions!$C$48:$C$53,4)+Assumptions!$D$37*INDEX(Assumptions!$C$48:$C$53,6))))</f>
        <v>0.00065</v>
      </c>
    </row>
    <row r="96" customFormat="false" ht="15" hidden="false" customHeight="false" outlineLevel="0" collapsed="false">
      <c r="A96" s="2" t="s">
        <v>292</v>
      </c>
      <c r="B96" s="15" t="n">
        <v>3</v>
      </c>
      <c r="C96" s="19" t="n">
        <f aca="false">Assumptions!$D$36*IF($B96&lt;=3,INDEX(Assumptions!$C$48:$C$53,$B96),INDEX(Assumptions!$C$48:$C$53,4))</f>
        <v>0.000975</v>
      </c>
      <c r="D96" s="19" t="n">
        <f aca="false">Assumptions!$D$36*IF($B96&lt;=3,INDEX(Assumptions!$C$48:$C$53,$B96),IF($B96&lt;5,INDEX(Assumptions!$C$48:$C$53,4),IF($B96&lt;8,(1-Assumptions!$D$37)*INDEX(Assumptions!$C$48:$C$53,4)+Assumptions!$D$37*INDEX(Assumptions!$C$48:$C$53,5),(1-Assumptions!$D$37)*INDEX(Assumptions!$C$48:$C$53,4)+Assumptions!$D$37*INDEX(Assumptions!$C$48:$C$53,6))))</f>
        <v>0.000975</v>
      </c>
    </row>
    <row r="97" customFormat="false" ht="15" hidden="false" customHeight="false" outlineLevel="0" collapsed="false">
      <c r="A97" s="2" t="s">
        <v>293</v>
      </c>
      <c r="B97" s="15" t="n">
        <v>4</v>
      </c>
      <c r="C97" s="19" t="n">
        <f aca="false">Assumptions!$D$36*IF($B97&lt;=3,INDEX(Assumptions!$C$48:$C$53,$B97),INDEX(Assumptions!$C$48:$C$53,4))</f>
        <v>0.001625</v>
      </c>
      <c r="D97" s="19" t="n">
        <f aca="false">Assumptions!$D$36*IF($B97&lt;=3,INDEX(Assumptions!$C$48:$C$53,$B97),IF($B97&lt;5,INDEX(Assumptions!$C$48:$C$53,4),IF($B97&lt;8,(1-Assumptions!$D$37)*INDEX(Assumptions!$C$48:$C$53,4)+Assumptions!$D$37*INDEX(Assumptions!$C$48:$C$53,5),(1-Assumptions!$D$37)*INDEX(Assumptions!$C$48:$C$53,4)+Assumptions!$D$37*INDEX(Assumptions!$C$48:$C$53,6))))</f>
        <v>0.001625</v>
      </c>
    </row>
    <row r="98" customFormat="false" ht="15" hidden="false" customHeight="false" outlineLevel="0" collapsed="false">
      <c r="A98" s="2" t="s">
        <v>294</v>
      </c>
      <c r="B98" s="15" t="n">
        <v>5</v>
      </c>
      <c r="C98" s="19" t="n">
        <f aca="false">Assumptions!$D$36*IF($B98&lt;=3,INDEX(Assumptions!$C$48:$C$53,$B98),INDEX(Assumptions!$C$48:$C$53,4))</f>
        <v>0.001625</v>
      </c>
      <c r="D98" s="19" t="n">
        <f aca="false">Assumptions!$D$36*IF($B98&lt;=3,INDEX(Assumptions!$C$48:$C$53,$B98),IF($B98&lt;5,INDEX(Assumptions!$C$48:$C$53,4),IF($B98&lt;8,(1-Assumptions!$D$37)*INDEX(Assumptions!$C$48:$C$53,4)+Assumptions!$D$37*INDEX(Assumptions!$C$48:$C$53,5),(1-Assumptions!$D$37)*INDEX(Assumptions!$C$48:$C$53,4)+Assumptions!$D$37*INDEX(Assumptions!$C$48:$C$53,6))))</f>
        <v>0.00169</v>
      </c>
    </row>
    <row r="99" customFormat="false" ht="15" hidden="false" customHeight="false" outlineLevel="0" collapsed="false">
      <c r="A99" s="2" t="s">
        <v>295</v>
      </c>
      <c r="B99" s="15" t="n">
        <v>6</v>
      </c>
      <c r="C99" s="19" t="n">
        <f aca="false">Assumptions!$D$36*IF($B99&lt;=3,INDEX(Assumptions!$C$48:$C$53,$B99),INDEX(Assumptions!$C$48:$C$53,4))</f>
        <v>0.001625</v>
      </c>
      <c r="D99" s="19" t="n">
        <f aca="false">Assumptions!$D$36*IF($B99&lt;=3,INDEX(Assumptions!$C$48:$C$53,$B99),IF($B99&lt;5,INDEX(Assumptions!$C$48:$C$53,4),IF($B99&lt;8,(1-Assumptions!$D$37)*INDEX(Assumptions!$C$48:$C$53,4)+Assumptions!$D$37*INDEX(Assumptions!$C$48:$C$53,5),(1-Assumptions!$D$37)*INDEX(Assumptions!$C$48:$C$53,4)+Assumptions!$D$37*INDEX(Assumptions!$C$48:$C$53,6))))</f>
        <v>0.00169</v>
      </c>
    </row>
    <row r="100" customFormat="false" ht="15" hidden="false" customHeight="false" outlineLevel="0" collapsed="false">
      <c r="A100" s="2" t="s">
        <v>296</v>
      </c>
      <c r="B100" s="15" t="n">
        <v>7</v>
      </c>
      <c r="C100" s="19" t="n">
        <f aca="false">Assumptions!$D$36*IF($B100&lt;=3,INDEX(Assumptions!$C$48:$C$53,$B100),INDEX(Assumptions!$C$48:$C$53,4))</f>
        <v>0.001625</v>
      </c>
      <c r="D100" s="19" t="n">
        <f aca="false">Assumptions!$D$36*IF($B100&lt;=3,INDEX(Assumptions!$C$48:$C$53,$B100),IF($B100&lt;5,INDEX(Assumptions!$C$48:$C$53,4),IF($B100&lt;8,(1-Assumptions!$D$37)*INDEX(Assumptions!$C$48:$C$53,4)+Assumptions!$D$37*INDEX(Assumptions!$C$48:$C$53,5),(1-Assumptions!$D$37)*INDEX(Assumptions!$C$48:$C$53,4)+Assumptions!$D$37*INDEX(Assumptions!$C$48:$C$53,6))))</f>
        <v>0.00169</v>
      </c>
    </row>
    <row r="101" customFormat="false" ht="15" hidden="false" customHeight="false" outlineLevel="0" collapsed="false">
      <c r="A101" s="2" t="s">
        <v>297</v>
      </c>
      <c r="B101" s="15" t="n">
        <v>8</v>
      </c>
      <c r="C101" s="19" t="n">
        <f aca="false">Assumptions!$D$36*IF($B101&lt;=3,INDEX(Assumptions!$C$48:$C$53,$B101),INDEX(Assumptions!$C$48:$C$53,4))</f>
        <v>0.001625</v>
      </c>
      <c r="D101" s="19" t="n">
        <f aca="false">Assumptions!$D$36*IF($B101&lt;=3,INDEX(Assumptions!$C$48:$C$53,$B101),IF($B101&lt;5,INDEX(Assumptions!$C$48:$C$53,4),IF($B101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02" customFormat="false" ht="15" hidden="false" customHeight="false" outlineLevel="0" collapsed="false">
      <c r="A102" s="2" t="s">
        <v>298</v>
      </c>
      <c r="B102" s="15" t="n">
        <v>9</v>
      </c>
      <c r="C102" s="19" t="n">
        <f aca="false">Assumptions!$D$36*IF($B102&lt;=3,INDEX(Assumptions!$C$48:$C$53,$B102),INDEX(Assumptions!$C$48:$C$53,4))</f>
        <v>0.001625</v>
      </c>
      <c r="D102" s="19" t="n">
        <f aca="false">Assumptions!$D$36*IF($B102&lt;=3,INDEX(Assumptions!$C$48:$C$53,$B102),IF($B102&lt;5,INDEX(Assumptions!$C$48:$C$53,4),IF($B102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03" customFormat="false" ht="15" hidden="false" customHeight="false" outlineLevel="0" collapsed="false">
      <c r="A103" s="2" t="s">
        <v>299</v>
      </c>
      <c r="B103" s="15" t="n">
        <v>10</v>
      </c>
      <c r="C103" s="19" t="n">
        <f aca="false">Assumptions!$D$36*IF($B103&lt;=3,INDEX(Assumptions!$C$48:$C$53,$B103),INDEX(Assumptions!$C$48:$C$53,4))</f>
        <v>0.001625</v>
      </c>
      <c r="D103" s="19" t="n">
        <f aca="false">Assumptions!$D$36*IF($B103&lt;=3,INDEX(Assumptions!$C$48:$C$53,$B103),IF($B103&lt;5,INDEX(Assumptions!$C$48:$C$53,4),IF($B103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04" customFormat="false" ht="15" hidden="false" customHeight="false" outlineLevel="0" collapsed="false">
      <c r="A104" s="2" t="s">
        <v>300</v>
      </c>
      <c r="B104" s="15" t="n">
        <v>11</v>
      </c>
      <c r="C104" s="19" t="n">
        <f aca="false">Assumptions!$D$36*IF($B104&lt;=3,INDEX(Assumptions!$C$48:$C$53,$B104),INDEX(Assumptions!$C$48:$C$53,4))</f>
        <v>0.001625</v>
      </c>
      <c r="D104" s="19" t="n">
        <f aca="false">Assumptions!$D$36*IF($B104&lt;=3,INDEX(Assumptions!$C$48:$C$53,$B104),IF($B104&lt;5,INDEX(Assumptions!$C$48:$C$53,4),IF($B104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05" customFormat="false" ht="15" hidden="false" customHeight="false" outlineLevel="0" collapsed="false">
      <c r="A105" s="2" t="s">
        <v>301</v>
      </c>
      <c r="B105" s="15" t="n">
        <v>12</v>
      </c>
      <c r="C105" s="19" t="n">
        <f aca="false">Assumptions!$D$36*IF($B105&lt;=3,INDEX(Assumptions!$C$48:$C$53,$B105),INDEX(Assumptions!$C$48:$C$53,4))</f>
        <v>0.001625</v>
      </c>
      <c r="D105" s="19" t="n">
        <f aca="false">Assumptions!$D$36*IF($B105&lt;=3,INDEX(Assumptions!$C$48:$C$53,$B105),IF($B105&lt;5,INDEX(Assumptions!$C$48:$C$53,4),IF($B105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06" customFormat="false" ht="15" hidden="false" customHeight="false" outlineLevel="0" collapsed="false">
      <c r="A106" s="2" t="s">
        <v>302</v>
      </c>
      <c r="B106" s="15" t="n">
        <v>13</v>
      </c>
      <c r="C106" s="19" t="n">
        <f aca="false">Assumptions!$D$36*IF($B106&lt;=3,INDEX(Assumptions!$C$48:$C$53,$B106),INDEX(Assumptions!$C$48:$C$53,4))</f>
        <v>0.001625</v>
      </c>
      <c r="D106" s="19" t="n">
        <f aca="false">Assumptions!$D$36*IF($B106&lt;=3,INDEX(Assumptions!$C$48:$C$53,$B106),IF($B106&lt;5,INDEX(Assumptions!$C$48:$C$53,4),IF($B106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07" customFormat="false" ht="15" hidden="false" customHeight="false" outlineLevel="0" collapsed="false">
      <c r="A107" s="2" t="s">
        <v>303</v>
      </c>
      <c r="B107" s="15" t="n">
        <v>14</v>
      </c>
      <c r="C107" s="19" t="n">
        <f aca="false">Assumptions!$D$36*IF($B107&lt;=3,INDEX(Assumptions!$C$48:$C$53,$B107),INDEX(Assumptions!$C$48:$C$53,4))</f>
        <v>0.001625</v>
      </c>
      <c r="D107" s="19" t="n">
        <f aca="false">Assumptions!$D$36*IF($B107&lt;=3,INDEX(Assumptions!$C$48:$C$53,$B107),IF($B107&lt;5,INDEX(Assumptions!$C$48:$C$53,4),IF($B107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08" customFormat="false" ht="15" hidden="false" customHeight="false" outlineLevel="0" collapsed="false">
      <c r="A108" s="2" t="s">
        <v>304</v>
      </c>
      <c r="B108" s="15" t="n">
        <v>15</v>
      </c>
      <c r="C108" s="19" t="n">
        <f aca="false">Assumptions!$D$36*IF($B108&lt;=3,INDEX(Assumptions!$C$48:$C$53,$B108),INDEX(Assumptions!$C$48:$C$53,4))</f>
        <v>0.001625</v>
      </c>
      <c r="D108" s="19" t="n">
        <f aca="false">Assumptions!$D$36*IF($B108&lt;=3,INDEX(Assumptions!$C$48:$C$53,$B108),IF($B108&lt;5,INDEX(Assumptions!$C$48:$C$53,4),IF($B108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09" customFormat="false" ht="15" hidden="false" customHeight="false" outlineLevel="0" collapsed="false">
      <c r="A109" s="2" t="s">
        <v>305</v>
      </c>
      <c r="B109" s="15" t="n">
        <v>16</v>
      </c>
      <c r="C109" s="19" t="n">
        <f aca="false">Assumptions!$D$36*IF($B109&lt;=3,INDEX(Assumptions!$C$48:$C$53,$B109),INDEX(Assumptions!$C$48:$C$53,4))</f>
        <v>0.001625</v>
      </c>
      <c r="D109" s="19" t="n">
        <f aca="false">Assumptions!$D$36*IF($B109&lt;=3,INDEX(Assumptions!$C$48:$C$53,$B109),IF($B109&lt;5,INDEX(Assumptions!$C$48:$C$53,4),IF($B109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10" customFormat="false" ht="15" hidden="false" customHeight="false" outlineLevel="0" collapsed="false">
      <c r="A110" s="2" t="s">
        <v>306</v>
      </c>
      <c r="B110" s="15" t="n">
        <v>17</v>
      </c>
      <c r="C110" s="19" t="n">
        <f aca="false">Assumptions!$D$36*IF($B110&lt;=3,INDEX(Assumptions!$C$48:$C$53,$B110),INDEX(Assumptions!$C$48:$C$53,4))</f>
        <v>0.001625</v>
      </c>
      <c r="D110" s="19" t="n">
        <f aca="false">Assumptions!$D$36*IF($B110&lt;=3,INDEX(Assumptions!$C$48:$C$53,$B110),IF($B110&lt;5,INDEX(Assumptions!$C$48:$C$53,4),IF($B110&lt;8,(1-Assumptions!$D$37)*INDEX(Assumptions!$C$48:$C$53,4)+Assumptions!$D$37*INDEX(Assumptions!$C$48:$C$53,5),(1-Assumptions!$D$37)*INDEX(Assumptions!$C$48:$C$53,4)+Assumptions!$D$37*INDEX(Assumptions!$C$48:$C$53,6))))</f>
        <v>0.00182</v>
      </c>
    </row>
    <row r="111" customFormat="false" ht="15" hidden="false" customHeight="false" outlineLevel="0" collapsed="false">
      <c r="A111" s="2" t="s">
        <v>307</v>
      </c>
      <c r="B111" s="15" t="n">
        <v>18</v>
      </c>
      <c r="C111" s="19" t="n">
        <f aca="false">Assumptions!$D$36*IF($B111&lt;=3,INDEX(Assumptions!$C$48:$C$53,$B111),INDEX(Assumptions!$C$48:$C$53,4))</f>
        <v>0.001625</v>
      </c>
      <c r="D111" s="19" t="n">
        <f aca="false">Assumptions!$D$36*IF($B111&lt;=3,INDEX(Assumptions!$C$48:$C$53,$B111),IF($B111&lt;5,INDEX(Assumptions!$C$48:$C$53,4),IF($B111&lt;8,(1-Assumptions!$D$37)*INDEX(Assumptions!$C$48:$C$53,4)+Assumptions!$D$37*INDEX(Assumptions!$C$48:$C$53,5),(1-Assumptions!$D$37)*INDEX(Assumptions!$C$48:$C$53,4)+Assumptions!$D$37*INDEX(Assumptions!$C$48:$C$53,6))))</f>
        <v>0.00182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21" min="4" style="0" width="10"/>
  </cols>
  <sheetData>
    <row r="1" customFormat="false" ht="17.35" hidden="false" customHeight="false" outlineLevel="0" collapsed="false">
      <c r="A1" s="3" t="s">
        <v>309</v>
      </c>
    </row>
    <row r="2" customFormat="false" ht="15" hidden="false" customHeight="false" outlineLevel="0" collapsed="false">
      <c r="A2" s="4" t="s">
        <v>216</v>
      </c>
    </row>
    <row r="3" customFormat="false" ht="15" hidden="false" customHeight="false" outlineLevel="0" collapsed="false">
      <c r="A3" s="5" t="s">
        <v>217</v>
      </c>
      <c r="B3" s="5" t="s">
        <v>16</v>
      </c>
      <c r="C3" s="5" t="s">
        <v>218</v>
      </c>
      <c r="D3" s="5" t="s">
        <v>195</v>
      </c>
      <c r="E3" s="5" t="s">
        <v>196</v>
      </c>
      <c r="F3" s="5" t="s">
        <v>197</v>
      </c>
      <c r="G3" s="5" t="s">
        <v>198</v>
      </c>
      <c r="H3" s="5" t="s">
        <v>199</v>
      </c>
      <c r="I3" s="5" t="s">
        <v>200</v>
      </c>
      <c r="J3" s="5" t="s">
        <v>201</v>
      </c>
      <c r="K3" s="5" t="s">
        <v>202</v>
      </c>
      <c r="L3" s="5" t="s">
        <v>203</v>
      </c>
      <c r="M3" s="5" t="s">
        <v>204</v>
      </c>
      <c r="N3" s="5" t="s">
        <v>205</v>
      </c>
      <c r="O3" s="5" t="s">
        <v>206</v>
      </c>
      <c r="P3" s="5" t="s">
        <v>207</v>
      </c>
      <c r="Q3" s="5" t="s">
        <v>208</v>
      </c>
      <c r="R3" s="5" t="s">
        <v>209</v>
      </c>
      <c r="S3" s="5" t="s">
        <v>210</v>
      </c>
      <c r="T3" s="5" t="s">
        <v>211</v>
      </c>
      <c r="U3" s="5" t="s">
        <v>212</v>
      </c>
    </row>
    <row r="4" customFormat="false" ht="15" hidden="false" customHeight="false" outlineLevel="0" collapsed="false">
      <c r="A4" s="2" t="s">
        <v>219</v>
      </c>
      <c r="B4" s="2" t="s">
        <v>220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5</v>
      </c>
      <c r="I4" s="15" t="n">
        <v>6</v>
      </c>
      <c r="J4" s="15" t="n">
        <v>7</v>
      </c>
      <c r="K4" s="15" t="n">
        <v>8</v>
      </c>
      <c r="L4" s="15" t="n">
        <v>9</v>
      </c>
      <c r="M4" s="15" t="n">
        <v>10</v>
      </c>
      <c r="N4" s="15" t="n">
        <v>11</v>
      </c>
      <c r="O4" s="15" t="n">
        <v>12</v>
      </c>
      <c r="P4" s="15" t="n">
        <v>13</v>
      </c>
      <c r="Q4" s="15" t="n">
        <v>14</v>
      </c>
      <c r="R4" s="15" t="n">
        <v>15</v>
      </c>
      <c r="S4" s="15" t="n">
        <v>16</v>
      </c>
      <c r="T4" s="15" t="n">
        <v>17</v>
      </c>
      <c r="U4" s="15" t="n">
        <v>18</v>
      </c>
    </row>
    <row r="5" customFormat="false" ht="15" hidden="false" customHeight="false" outlineLevel="0" collapsed="false">
      <c r="A5" s="2" t="s">
        <v>221</v>
      </c>
      <c r="B5" s="2" t="s">
        <v>222</v>
      </c>
      <c r="D5" s="15" t="n">
        <f aca="false">MOD(Assumptions!$E$30-1+D4-1,12)+1</f>
        <v>7</v>
      </c>
      <c r="E5" s="15" t="n">
        <f aca="false">MOD(Assumptions!$E$30-1+E4-1,12)+1</f>
        <v>8</v>
      </c>
      <c r="F5" s="15" t="n">
        <f aca="false">MOD(Assumptions!$E$30-1+F4-1,12)+1</f>
        <v>9</v>
      </c>
      <c r="G5" s="15" t="n">
        <f aca="false">MOD(Assumptions!$E$30-1+G4-1,12)+1</f>
        <v>10</v>
      </c>
      <c r="H5" s="15" t="n">
        <f aca="false">MOD(Assumptions!$E$30-1+H4-1,12)+1</f>
        <v>11</v>
      </c>
      <c r="I5" s="15" t="n">
        <f aca="false">MOD(Assumptions!$E$30-1+I4-1,12)+1</f>
        <v>12</v>
      </c>
      <c r="J5" s="15" t="n">
        <f aca="false">MOD(Assumptions!$E$30-1+J4-1,12)+1</f>
        <v>1</v>
      </c>
      <c r="K5" s="15" t="n">
        <f aca="false">MOD(Assumptions!$E$30-1+K4-1,12)+1</f>
        <v>2</v>
      </c>
      <c r="L5" s="15" t="n">
        <f aca="false">MOD(Assumptions!$E$30-1+L4-1,12)+1</f>
        <v>3</v>
      </c>
      <c r="M5" s="15" t="n">
        <f aca="false">MOD(Assumptions!$E$30-1+M4-1,12)+1</f>
        <v>4</v>
      </c>
      <c r="N5" s="15" t="n">
        <f aca="false">MOD(Assumptions!$E$30-1+N4-1,12)+1</f>
        <v>5</v>
      </c>
      <c r="O5" s="15" t="n">
        <f aca="false">MOD(Assumptions!$E$30-1+O4-1,12)+1</f>
        <v>6</v>
      </c>
      <c r="P5" s="15" t="n">
        <f aca="false">MOD(Assumptions!$E$30-1+P4-1,12)+1</f>
        <v>7</v>
      </c>
      <c r="Q5" s="15" t="n">
        <f aca="false">MOD(Assumptions!$E$30-1+Q4-1,12)+1</f>
        <v>8</v>
      </c>
      <c r="R5" s="15" t="n">
        <f aca="false">MOD(Assumptions!$E$30-1+R4-1,12)+1</f>
        <v>9</v>
      </c>
      <c r="S5" s="15" t="n">
        <f aca="false">MOD(Assumptions!$E$30-1+S4-1,12)+1</f>
        <v>10</v>
      </c>
      <c r="T5" s="15" t="n">
        <f aca="false">MOD(Assumptions!$E$30-1+T4-1,12)+1</f>
        <v>11</v>
      </c>
      <c r="U5" s="15" t="n">
        <f aca="false">MOD(Assumptions!$E$30-1+U4-1,12)+1</f>
        <v>12</v>
      </c>
    </row>
    <row r="6" customFormat="false" ht="15" hidden="false" customHeight="false" outlineLevel="0" collapsed="false">
      <c r="A6" s="2" t="s">
        <v>223</v>
      </c>
      <c r="B6" s="2" t="s">
        <v>71</v>
      </c>
      <c r="D6" s="26" t="n">
        <f aca="false">INDEX(Assumptions!$C$57:$N$57,D5)</f>
        <v>1</v>
      </c>
      <c r="E6" s="26" t="n">
        <f aca="false">INDEX(Assumptions!$C$57:$N$57,E5)</f>
        <v>1</v>
      </c>
      <c r="F6" s="26" t="n">
        <f aca="false">INDEX(Assumptions!$C$57:$N$57,F5)</f>
        <v>1</v>
      </c>
      <c r="G6" s="26" t="n">
        <f aca="false">INDEX(Assumptions!$C$57:$N$57,G5)</f>
        <v>1</v>
      </c>
      <c r="H6" s="26" t="n">
        <f aca="false">INDEX(Assumptions!$C$57:$N$57,H5)</f>
        <v>1</v>
      </c>
      <c r="I6" s="26" t="n">
        <f aca="false">INDEX(Assumptions!$C$57:$N$57,I5)</f>
        <v>1.3</v>
      </c>
      <c r="J6" s="26" t="n">
        <f aca="false">INDEX(Assumptions!$C$57:$N$57,J5)</f>
        <v>1.4</v>
      </c>
      <c r="K6" s="26" t="n">
        <f aca="false">INDEX(Assumptions!$C$57:$N$57,K5)</f>
        <v>1.2</v>
      </c>
      <c r="L6" s="26" t="n">
        <f aca="false">INDEX(Assumptions!$C$57:$N$57,L5)</f>
        <v>1</v>
      </c>
      <c r="M6" s="26" t="n">
        <f aca="false">INDEX(Assumptions!$C$57:$N$57,M5)</f>
        <v>1</v>
      </c>
      <c r="N6" s="26" t="n">
        <f aca="false">INDEX(Assumptions!$C$57:$N$57,N5)</f>
        <v>1</v>
      </c>
      <c r="O6" s="26" t="n">
        <f aca="false">INDEX(Assumptions!$C$57:$N$57,O5)</f>
        <v>1</v>
      </c>
      <c r="P6" s="26" t="n">
        <f aca="false">INDEX(Assumptions!$C$57:$N$57,P5)</f>
        <v>1</v>
      </c>
      <c r="Q6" s="26" t="n">
        <f aca="false">INDEX(Assumptions!$C$57:$N$57,Q5)</f>
        <v>1</v>
      </c>
      <c r="R6" s="26" t="n">
        <f aca="false">INDEX(Assumptions!$C$57:$N$57,R5)</f>
        <v>1</v>
      </c>
      <c r="S6" s="26" t="n">
        <f aca="false">INDEX(Assumptions!$C$57:$N$57,S5)</f>
        <v>1</v>
      </c>
      <c r="T6" s="26" t="n">
        <f aca="false">INDEX(Assumptions!$C$57:$N$57,T5)</f>
        <v>1</v>
      </c>
      <c r="U6" s="26" t="n">
        <f aca="false">INDEX(Assumptions!$C$57:$N$57,U5)</f>
        <v>1.3</v>
      </c>
    </row>
    <row r="7" customFormat="false" ht="15" hidden="false" customHeight="false" outlineLevel="0" collapsed="false">
      <c r="A7" s="2" t="s">
        <v>224</v>
      </c>
      <c r="B7" s="2" t="s">
        <v>34</v>
      </c>
      <c r="D7" s="18" t="n">
        <f aca="false">INDEX(Assumptions!$C$61:$T$61,D4)/SUM(Assumptions!$C$61:$T$61)</f>
        <v>0.0208333333333333</v>
      </c>
      <c r="E7" s="18" t="n">
        <f aca="false">INDEX(Assumptions!$C$61:$T$61,E4)/SUM(Assumptions!$C$61:$T$61)</f>
        <v>0.03125</v>
      </c>
      <c r="F7" s="18" t="n">
        <f aca="false">INDEX(Assumptions!$C$61:$T$61,F4)/SUM(Assumptions!$C$61:$T$61)</f>
        <v>0.0416666666666667</v>
      </c>
      <c r="G7" s="18" t="n">
        <f aca="false">INDEX(Assumptions!$C$61:$T$61,G4)/SUM(Assumptions!$C$61:$T$61)</f>
        <v>0.0520833333333333</v>
      </c>
      <c r="H7" s="18" t="n">
        <f aca="false">INDEX(Assumptions!$C$61:$T$61,H4)/SUM(Assumptions!$C$61:$T$61)</f>
        <v>0.0625</v>
      </c>
      <c r="I7" s="18" t="n">
        <f aca="false">INDEX(Assumptions!$C$61:$T$61,I4)/SUM(Assumptions!$C$61:$T$61)</f>
        <v>0.0729166666666667</v>
      </c>
      <c r="J7" s="18" t="n">
        <f aca="false">INDEX(Assumptions!$C$61:$T$61,J4)/SUM(Assumptions!$C$61:$T$61)</f>
        <v>0.0729166666666667</v>
      </c>
      <c r="K7" s="18" t="n">
        <f aca="false">INDEX(Assumptions!$C$61:$T$61,K4)/SUM(Assumptions!$C$61:$T$61)</f>
        <v>0.0729166666666667</v>
      </c>
      <c r="L7" s="18" t="n">
        <f aca="false">INDEX(Assumptions!$C$61:$T$61,L4)/SUM(Assumptions!$C$61:$T$61)</f>
        <v>0.0729166666666667</v>
      </c>
      <c r="M7" s="18" t="n">
        <f aca="false">INDEX(Assumptions!$C$61:$T$61,M4)/SUM(Assumptions!$C$61:$T$61)</f>
        <v>0.0729166666666667</v>
      </c>
      <c r="N7" s="18" t="n">
        <f aca="false">INDEX(Assumptions!$C$61:$T$61,N4)/SUM(Assumptions!$C$61:$T$61)</f>
        <v>0.0625</v>
      </c>
      <c r="O7" s="18" t="n">
        <f aca="false">INDEX(Assumptions!$C$61:$T$61,O4)/SUM(Assumptions!$C$61:$T$61)</f>
        <v>0.0625</v>
      </c>
      <c r="P7" s="18" t="n">
        <f aca="false">INDEX(Assumptions!$C$61:$T$61,P4)/SUM(Assumptions!$C$61:$T$61)</f>
        <v>0.0625</v>
      </c>
      <c r="Q7" s="18" t="n">
        <f aca="false">INDEX(Assumptions!$C$61:$T$61,Q4)/SUM(Assumptions!$C$61:$T$61)</f>
        <v>0.0520833333333333</v>
      </c>
      <c r="R7" s="18" t="n">
        <f aca="false">INDEX(Assumptions!$C$61:$T$61,R4)/SUM(Assumptions!$C$61:$T$61)</f>
        <v>0.0520833333333333</v>
      </c>
      <c r="S7" s="18" t="n">
        <f aca="false">INDEX(Assumptions!$C$61:$T$61,S4)/SUM(Assumptions!$C$61:$T$61)</f>
        <v>0.0520833333333333</v>
      </c>
      <c r="T7" s="18" t="n">
        <f aca="false">INDEX(Assumptions!$C$61:$T$61,T4)/SUM(Assumptions!$C$61:$T$61)</f>
        <v>0.0416666666666667</v>
      </c>
      <c r="U7" s="18" t="n">
        <f aca="false">INDEX(Assumptions!$C$61:$T$61,U4)/SUM(Assumptions!$C$61:$T$61)</f>
        <v>0.0416666666666667</v>
      </c>
    </row>
    <row r="8" customFormat="false" ht="15" hidden="false" customHeight="false" outlineLevel="0" collapsed="false">
      <c r="A8" s="6" t="s">
        <v>225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customFormat="false" ht="15" hidden="false" customHeight="false" outlineLevel="0" collapsed="false">
      <c r="A9" s="2" t="s">
        <v>226</v>
      </c>
      <c r="B9" s="2" t="s">
        <v>22</v>
      </c>
      <c r="C9" s="12" t="n">
        <f aca="false">SUM(D9:U9)</f>
        <v>600000</v>
      </c>
      <c r="D9" s="27" t="n">
        <f aca="false">Assumptions!$E$14*Assumptions!$E$12*D7</f>
        <v>12500</v>
      </c>
      <c r="E9" s="27" t="n">
        <f aca="false">Assumptions!$E$14*Assumptions!$E$12*E7</f>
        <v>18750</v>
      </c>
      <c r="F9" s="27" t="n">
        <f aca="false">Assumptions!$E$14*Assumptions!$E$12*F7</f>
        <v>25000</v>
      </c>
      <c r="G9" s="27" t="n">
        <f aca="false">Assumptions!$E$14*Assumptions!$E$12*G7</f>
        <v>31250</v>
      </c>
      <c r="H9" s="27" t="n">
        <f aca="false">Assumptions!$E$14*Assumptions!$E$12*H7</f>
        <v>37500</v>
      </c>
      <c r="I9" s="27" t="n">
        <f aca="false">Assumptions!$E$14*Assumptions!$E$12*I7</f>
        <v>43750</v>
      </c>
      <c r="J9" s="27" t="n">
        <f aca="false">Assumptions!$E$14*Assumptions!$E$12*J7</f>
        <v>43750</v>
      </c>
      <c r="K9" s="27" t="n">
        <f aca="false">Assumptions!$E$14*Assumptions!$E$12*K7</f>
        <v>43750</v>
      </c>
      <c r="L9" s="27" t="n">
        <f aca="false">Assumptions!$E$14*Assumptions!$E$12*L7</f>
        <v>43750</v>
      </c>
      <c r="M9" s="27" t="n">
        <f aca="false">Assumptions!$E$14*Assumptions!$E$12*M7</f>
        <v>43750</v>
      </c>
      <c r="N9" s="27" t="n">
        <f aca="false">Assumptions!$E$14*Assumptions!$E$12*N7</f>
        <v>37500</v>
      </c>
      <c r="O9" s="27" t="n">
        <f aca="false">Assumptions!$E$14*Assumptions!$E$12*O7</f>
        <v>37500</v>
      </c>
      <c r="P9" s="27" t="n">
        <f aca="false">Assumptions!$E$14*Assumptions!$E$12*P7</f>
        <v>37500</v>
      </c>
      <c r="Q9" s="27" t="n">
        <f aca="false">Assumptions!$E$14*Assumptions!$E$12*Q7</f>
        <v>31250</v>
      </c>
      <c r="R9" s="27" t="n">
        <f aca="false">Assumptions!$E$14*Assumptions!$E$12*R7</f>
        <v>31250</v>
      </c>
      <c r="S9" s="27" t="n">
        <f aca="false">Assumptions!$E$14*Assumptions!$E$12*S7</f>
        <v>31250</v>
      </c>
      <c r="T9" s="27" t="n">
        <f aca="false">Assumptions!$E$14*Assumptions!$E$12*T7</f>
        <v>25000</v>
      </c>
      <c r="U9" s="27" t="n">
        <f aca="false">Assumptions!$E$14*Assumptions!$E$12*U7</f>
        <v>25000</v>
      </c>
    </row>
    <row r="10" customFormat="false" ht="15" hidden="false" customHeight="false" outlineLevel="0" collapsed="false">
      <c r="A10" s="2" t="s">
        <v>227</v>
      </c>
      <c r="B10" s="2" t="s">
        <v>22</v>
      </c>
      <c r="C10" s="12" t="n">
        <f aca="false">SUM(D10:U10)</f>
        <v>420000</v>
      </c>
      <c r="D10" s="27" t="n">
        <f aca="false">D9*Assumptions!$E$15</f>
        <v>8750</v>
      </c>
      <c r="E10" s="27" t="n">
        <f aca="false">E9*Assumptions!$E$15</f>
        <v>13125</v>
      </c>
      <c r="F10" s="27" t="n">
        <f aca="false">F9*Assumptions!$E$15</f>
        <v>17500</v>
      </c>
      <c r="G10" s="27" t="n">
        <f aca="false">G9*Assumptions!$E$15</f>
        <v>21875</v>
      </c>
      <c r="H10" s="27" t="n">
        <f aca="false">H9*Assumptions!$E$15</f>
        <v>26250</v>
      </c>
      <c r="I10" s="27" t="n">
        <f aca="false">I9*Assumptions!$E$15</f>
        <v>30625</v>
      </c>
      <c r="J10" s="27" t="n">
        <f aca="false">J9*Assumptions!$E$15</f>
        <v>30625</v>
      </c>
      <c r="K10" s="27" t="n">
        <f aca="false">K9*Assumptions!$E$15</f>
        <v>30625</v>
      </c>
      <c r="L10" s="27" t="n">
        <f aca="false">L9*Assumptions!$E$15</f>
        <v>30625</v>
      </c>
      <c r="M10" s="27" t="n">
        <f aca="false">M9*Assumptions!$E$15</f>
        <v>30625</v>
      </c>
      <c r="N10" s="27" t="n">
        <f aca="false">N9*Assumptions!$E$15</f>
        <v>26250</v>
      </c>
      <c r="O10" s="27" t="n">
        <f aca="false">O9*Assumptions!$E$15</f>
        <v>26250</v>
      </c>
      <c r="P10" s="27" t="n">
        <f aca="false">P9*Assumptions!$E$15</f>
        <v>26250</v>
      </c>
      <c r="Q10" s="27" t="n">
        <f aca="false">Q9*Assumptions!$E$15</f>
        <v>21875</v>
      </c>
      <c r="R10" s="27" t="n">
        <f aca="false">R9*Assumptions!$E$15</f>
        <v>21875</v>
      </c>
      <c r="S10" s="27" t="n">
        <f aca="false">S9*Assumptions!$E$15</f>
        <v>21875</v>
      </c>
      <c r="T10" s="27" t="n">
        <f aca="false">T9*Assumptions!$E$15</f>
        <v>17500</v>
      </c>
      <c r="U10" s="27" t="n">
        <f aca="false">U9*Assumptions!$E$15</f>
        <v>17500</v>
      </c>
    </row>
    <row r="11" customFormat="false" ht="15" hidden="false" customHeight="false" outlineLevel="0" collapsed="false">
      <c r="A11" s="2" t="s">
        <v>228</v>
      </c>
      <c r="B11" s="2" t="s">
        <v>22</v>
      </c>
      <c r="D11" s="27" t="n">
        <f aca="false">SUM(D49:D66)</f>
        <v>8750</v>
      </c>
      <c r="E11" s="27" t="n">
        <f aca="false">SUM(E49:E66)</f>
        <v>21437.5</v>
      </c>
      <c r="F11" s="27" t="n">
        <f aca="false">SUM(F49:F66)</f>
        <v>37865.625</v>
      </c>
      <c r="G11" s="27" t="n">
        <f aca="false">SUM(G49:G66)</f>
        <v>57847.34375</v>
      </c>
      <c r="H11" s="27" t="n">
        <f aca="false">SUM(H49:H66)</f>
        <v>81204.9765625</v>
      </c>
      <c r="I11" s="27" t="n">
        <f aca="false">SUM(I49:I66)</f>
        <v>107769.727734375</v>
      </c>
      <c r="J11" s="27" t="n">
        <f aca="false">SUM(J49:J66)</f>
        <v>133006.241347656</v>
      </c>
      <c r="K11" s="27" t="n">
        <f aca="false">SUM(K49:K66)</f>
        <v>156980.929280273</v>
      </c>
      <c r="L11" s="27" t="n">
        <f aca="false">SUM(L49:L66)</f>
        <v>179756.88281626</v>
      </c>
      <c r="M11" s="27" t="n">
        <f aca="false">SUM(M49:M66)</f>
        <v>201394.038675447</v>
      </c>
      <c r="N11" s="27" t="n">
        <f aca="false">SUM(N49:N66)</f>
        <v>217574.336741674</v>
      </c>
      <c r="O11" s="27" t="n">
        <f aca="false">SUM(O49:O66)</f>
        <v>232945.619904591</v>
      </c>
      <c r="P11" s="27" t="n">
        <f aca="false">SUM(P49:P66)</f>
        <v>247548.338909361</v>
      </c>
      <c r="Q11" s="27" t="n">
        <f aca="false">SUM(Q49:Q66)</f>
        <v>257045.921963893</v>
      </c>
      <c r="R11" s="27" t="n">
        <f aca="false">SUM(R49:R66)</f>
        <v>266068.625865698</v>
      </c>
      <c r="S11" s="27" t="n">
        <f aca="false">SUM(S49:S66)</f>
        <v>274640.194572413</v>
      </c>
      <c r="T11" s="27" t="n">
        <f aca="false">SUM(T49:T66)</f>
        <v>278408.184843793</v>
      </c>
      <c r="U11" s="27" t="n">
        <f aca="false">SUM(U49:U66)</f>
        <v>281987.775601603</v>
      </c>
    </row>
    <row r="12" customFormat="false" ht="15" hidden="false" customHeight="false" outlineLevel="0" collapsed="false">
      <c r="A12" s="2" t="s">
        <v>229</v>
      </c>
      <c r="B12" s="2" t="s">
        <v>22</v>
      </c>
      <c r="C12" s="12" t="n">
        <f aca="false">SUM(D12:U12)</f>
        <v>138012.224398397</v>
      </c>
      <c r="D12" s="27" t="n">
        <f aca="false">0</f>
        <v>0</v>
      </c>
      <c r="E12" s="27" t="n">
        <f aca="false">D11*Assumptions!$E$18</f>
        <v>437.5</v>
      </c>
      <c r="F12" s="27" t="n">
        <f aca="false">E11*Assumptions!$E$18</f>
        <v>1071.875</v>
      </c>
      <c r="G12" s="27" t="n">
        <f aca="false">F11*Assumptions!$E$18</f>
        <v>1893.28125</v>
      </c>
      <c r="H12" s="27" t="n">
        <f aca="false">G11*Assumptions!$E$18</f>
        <v>2892.3671875</v>
      </c>
      <c r="I12" s="27" t="n">
        <f aca="false">H11*Assumptions!$E$18</f>
        <v>4060.248828125</v>
      </c>
      <c r="J12" s="27" t="n">
        <f aca="false">I11*Assumptions!$E$18</f>
        <v>5388.48638671875</v>
      </c>
      <c r="K12" s="27" t="n">
        <f aca="false">J11*Assumptions!$E$18</f>
        <v>6650.31206738281</v>
      </c>
      <c r="L12" s="27" t="n">
        <f aca="false">K11*Assumptions!$E$18</f>
        <v>7849.04646401367</v>
      </c>
      <c r="M12" s="27" t="n">
        <f aca="false">L11*Assumptions!$E$18</f>
        <v>8987.84414081299</v>
      </c>
      <c r="N12" s="27" t="n">
        <f aca="false">M11*Assumptions!$E$18</f>
        <v>10069.7019337723</v>
      </c>
      <c r="O12" s="27" t="n">
        <f aca="false">N11*Assumptions!$E$18</f>
        <v>10878.7168370837</v>
      </c>
      <c r="P12" s="27" t="n">
        <f aca="false">O11*Assumptions!$E$18</f>
        <v>11647.2809952295</v>
      </c>
      <c r="Q12" s="27" t="n">
        <f aca="false">P11*Assumptions!$E$18</f>
        <v>12377.4169454681</v>
      </c>
      <c r="R12" s="27" t="n">
        <f aca="false">Q11*Assumptions!$E$18</f>
        <v>12852.2960981947</v>
      </c>
      <c r="S12" s="27" t="n">
        <f aca="false">R11*Assumptions!$E$18</f>
        <v>13303.4312932849</v>
      </c>
      <c r="T12" s="27" t="n">
        <f aca="false">S11*Assumptions!$E$18</f>
        <v>13732.0097286207</v>
      </c>
      <c r="U12" s="27" t="n">
        <f aca="false">T11*Assumptions!$E$18</f>
        <v>13920.4092421896</v>
      </c>
    </row>
    <row r="13" customFormat="false" ht="15" hidden="false" customHeight="false" outlineLevel="0" collapsed="false">
      <c r="A13" s="2" t="s">
        <v>230</v>
      </c>
      <c r="B13" s="2" t="s">
        <v>22</v>
      </c>
      <c r="D13" s="27" t="n">
        <f aca="false">D9</f>
        <v>12500</v>
      </c>
      <c r="E13" s="27" t="n">
        <f aca="false">D13+E9</f>
        <v>31250</v>
      </c>
      <c r="F13" s="27" t="n">
        <f aca="false">E13+F9</f>
        <v>56250</v>
      </c>
      <c r="G13" s="27" t="n">
        <f aca="false">F13+G9</f>
        <v>87500</v>
      </c>
      <c r="H13" s="27" t="n">
        <f aca="false">G13+H9</f>
        <v>125000</v>
      </c>
      <c r="I13" s="27" t="n">
        <f aca="false">H13+I9</f>
        <v>168750</v>
      </c>
      <c r="J13" s="27" t="n">
        <f aca="false">I13+J9</f>
        <v>212500</v>
      </c>
      <c r="K13" s="27" t="n">
        <f aca="false">J13+K9</f>
        <v>256250</v>
      </c>
      <c r="L13" s="27" t="n">
        <f aca="false">K13+L9</f>
        <v>300000</v>
      </c>
      <c r="M13" s="27" t="n">
        <f aca="false">L13+M9</f>
        <v>343750</v>
      </c>
      <c r="N13" s="27" t="n">
        <f aca="false">M13+N9</f>
        <v>381250</v>
      </c>
      <c r="O13" s="27" t="n">
        <f aca="false">N13+O9</f>
        <v>418750</v>
      </c>
      <c r="P13" s="27" t="n">
        <f aca="false">O13+P9</f>
        <v>456250</v>
      </c>
      <c r="Q13" s="27" t="n">
        <f aca="false">P13+Q9</f>
        <v>487500</v>
      </c>
      <c r="R13" s="27" t="n">
        <f aca="false">Q13+R9</f>
        <v>518750</v>
      </c>
      <c r="S13" s="27" t="n">
        <f aca="false">R13+S9</f>
        <v>550000</v>
      </c>
      <c r="T13" s="27" t="n">
        <f aca="false">S13+T9</f>
        <v>575000</v>
      </c>
      <c r="U13" s="27" t="n">
        <f aca="false">T13+U9</f>
        <v>600000</v>
      </c>
    </row>
    <row r="14" customFormat="false" ht="15" hidden="false" customHeight="false" outlineLevel="0" collapsed="false">
      <c r="A14" s="6" t="s">
        <v>231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customFormat="false" ht="15" hidden="false" customHeight="false" outlineLevel="0" collapsed="false">
      <c r="A15" s="2" t="s">
        <v>232</v>
      </c>
      <c r="B15" s="2" t="s">
        <v>233</v>
      </c>
      <c r="D15" s="11" t="n">
        <f aca="false">IF(0&gt;0,0/0,0)</f>
        <v>0</v>
      </c>
      <c r="E15" s="11" t="n">
        <f aca="false">IF(D11&gt;0,D21/D11,0)</f>
        <v>0.8</v>
      </c>
      <c r="F15" s="11" t="n">
        <f aca="false">IF(E11&gt;0,E21/E11,0)</f>
        <v>1.09779591836735</v>
      </c>
      <c r="G15" s="11" t="n">
        <f aca="false">IF(F11&gt;0,F21/F11,0)</f>
        <v>1.37178005961872</v>
      </c>
      <c r="H15" s="11" t="n">
        <f aca="false">IF(G11&gt;0,G21/G11,0)</f>
        <v>1.62608470174075</v>
      </c>
      <c r="I15" s="11" t="n">
        <f aca="false">IF(H11&gt;0,H21/H11,0)</f>
        <v>1.86566898509401</v>
      </c>
      <c r="J15" s="11" t="n">
        <f aca="false">IF(I11&gt;0,I21/I11,0)</f>
        <v>2.08063814500714</v>
      </c>
      <c r="K15" s="11" t="n">
        <f aca="false">IF(J11&gt;0,J21/J11,0)</f>
        <v>2.33071302304923</v>
      </c>
      <c r="L15" s="11" t="n">
        <f aca="false">IF(K11&gt;0,K21/K11,0)</f>
        <v>2.60488160942951</v>
      </c>
      <c r="M15" s="11" t="n">
        <f aca="false">IF(L11&gt;0,L21/L11,0)</f>
        <v>2.89280007879358</v>
      </c>
      <c r="N15" s="11" t="n">
        <f aca="false">IF(M11&gt;0,M21/M11,0)</f>
        <v>3.17539437574439</v>
      </c>
      <c r="O15" s="11" t="n">
        <f aca="false">IF(N11&gt;0,N21/N11,0)</f>
        <v>3.50405175813339</v>
      </c>
      <c r="P15" s="11" t="n">
        <f aca="false">IF(O11&gt;0,O21/O11,0)</f>
        <v>3.81093942295265</v>
      </c>
      <c r="Q15" s="11" t="n">
        <f aca="false">IF(P11&gt;0,P21/P11,0)</f>
        <v>4.09917204599289</v>
      </c>
      <c r="R15" s="11" t="n">
        <f aca="false">IF(Q11&gt;0,Q21/Q11,0)</f>
        <v>4.43181594331851</v>
      </c>
      <c r="S15" s="11" t="n">
        <f aca="false">IF(R11&gt;0,R21/R11,0)</f>
        <v>4.73891993428538</v>
      </c>
      <c r="T15" s="11" t="n">
        <f aca="false">IF(S11&gt;0,S21/S11,0)</f>
        <v>5.02364419763946</v>
      </c>
      <c r="U15" s="11" t="n">
        <f aca="false">IF(T11&gt;0,T21/T11,0)</f>
        <v>5.35910251751349</v>
      </c>
    </row>
    <row r="16" customFormat="false" ht="15" hidden="false" customHeight="false" outlineLevel="0" collapsed="false">
      <c r="A16" s="2" t="s">
        <v>234</v>
      </c>
      <c r="B16" s="2" t="s">
        <v>28</v>
      </c>
      <c r="C16" s="12" t="n">
        <f aca="false">SUM(D16:U16)</f>
        <v>2433785.81085563</v>
      </c>
      <c r="D16" s="12" t="n">
        <f aca="false">D11*Assumptions!$E$19/Assumptions!$E$7</f>
        <v>7000</v>
      </c>
      <c r="E16" s="12" t="n">
        <f aca="false">E11*Assumptions!$E$19/Assumptions!$E$7</f>
        <v>17150</v>
      </c>
      <c r="F16" s="12" t="n">
        <f aca="false">F11*Assumptions!$E$19/Assumptions!$E$7</f>
        <v>30292.5</v>
      </c>
      <c r="G16" s="12" t="n">
        <f aca="false">G11*Assumptions!$E$19/Assumptions!$E$7</f>
        <v>46277.875</v>
      </c>
      <c r="H16" s="12" t="n">
        <f aca="false">H11*Assumptions!$E$19/Assumptions!$E$7</f>
        <v>64963.98125</v>
      </c>
      <c r="I16" s="12" t="n">
        <f aca="false">I11*Assumptions!$E$19/Assumptions!$E$7</f>
        <v>86215.7821875</v>
      </c>
      <c r="J16" s="12" t="n">
        <f aca="false">J11*Assumptions!$E$19/Assumptions!$E$7</f>
        <v>106404.993078125</v>
      </c>
      <c r="K16" s="12" t="n">
        <f aca="false">K11*Assumptions!$E$19/Assumptions!$E$7</f>
        <v>125584.743424219</v>
      </c>
      <c r="L16" s="12" t="n">
        <f aca="false">L11*Assumptions!$E$19/Assumptions!$E$7</f>
        <v>143805.506253008</v>
      </c>
      <c r="M16" s="12" t="n">
        <f aca="false">M11*Assumptions!$E$19/Assumptions!$E$7</f>
        <v>161115.230940357</v>
      </c>
      <c r="N16" s="12" t="n">
        <f aca="false">N11*Assumptions!$E$19/Assumptions!$E$7</f>
        <v>174059.46939334</v>
      </c>
      <c r="O16" s="12" t="n">
        <f aca="false">O11*Assumptions!$E$19/Assumptions!$E$7</f>
        <v>186356.495923673</v>
      </c>
      <c r="P16" s="12" t="n">
        <f aca="false">P11*Assumptions!$E$19/Assumptions!$E$7</f>
        <v>198038.671127489</v>
      </c>
      <c r="Q16" s="12" t="n">
        <f aca="false">Q11*Assumptions!$E$19/Assumptions!$E$7</f>
        <v>205636.737571114</v>
      </c>
      <c r="R16" s="12" t="n">
        <f aca="false">R11*Assumptions!$E$19/Assumptions!$E$7</f>
        <v>212854.900692559</v>
      </c>
      <c r="S16" s="12" t="n">
        <f aca="false">S11*Assumptions!$E$19/Assumptions!$E$7</f>
        <v>219712.155657931</v>
      </c>
      <c r="T16" s="12" t="n">
        <f aca="false">T11*Assumptions!$E$19/Assumptions!$E$7</f>
        <v>222726.547875034</v>
      </c>
      <c r="U16" s="12" t="n">
        <f aca="false">U11*Assumptions!$E$19/Assumptions!$E$7</f>
        <v>225590.220481282</v>
      </c>
    </row>
    <row r="17" customFormat="false" ht="15" hidden="false" customHeight="false" outlineLevel="0" collapsed="false">
      <c r="A17" s="2" t="s">
        <v>235</v>
      </c>
      <c r="B17" s="2" t="s">
        <v>28</v>
      </c>
      <c r="C17" s="12" t="n">
        <f aca="false">SUM(D17:U17)</f>
        <v>518367.155419706</v>
      </c>
      <c r="D17" s="12" t="n">
        <f aca="false">D12*D15</f>
        <v>0</v>
      </c>
      <c r="E17" s="12" t="n">
        <f aca="false">E12*E15</f>
        <v>350</v>
      </c>
      <c r="F17" s="12" t="n">
        <f aca="false">F12*F15</f>
        <v>1176.7</v>
      </c>
      <c r="G17" s="12" t="n">
        <f aca="false">G12*G15</f>
        <v>2597.165466</v>
      </c>
      <c r="H17" s="12" t="n">
        <f aca="false">H12*H15</f>
        <v>4703.23403541068</v>
      </c>
      <c r="I17" s="12" t="n">
        <f aca="false">I12*I15</f>
        <v>7575.08031039712</v>
      </c>
      <c r="J17" s="12" t="n">
        <f aca="false">J12*J15</f>
        <v>11211.4903200587</v>
      </c>
      <c r="K17" s="12" t="n">
        <f aca="false">K12*K15</f>
        <v>15499.9689427906</v>
      </c>
      <c r="L17" s="12" t="n">
        <f aca="false">L12*L15</f>
        <v>20445.8367856669</v>
      </c>
      <c r="M17" s="12" t="n">
        <f aca="false">M12*M15</f>
        <v>26000.0362387282</v>
      </c>
      <c r="N17" s="12" t="n">
        <f aca="false">N12*N15</f>
        <v>31975.2748859231</v>
      </c>
      <c r="O17" s="12" t="n">
        <f aca="false">O12*O15</f>
        <v>38119.5868592185</v>
      </c>
      <c r="P17" s="12" t="n">
        <f aca="false">P12*P15</f>
        <v>44387.0823149275</v>
      </c>
      <c r="Q17" s="12" t="n">
        <f aca="false">Q12*Q15</f>
        <v>50737.1615444614</v>
      </c>
      <c r="R17" s="12" t="n">
        <f aca="false">R12*R15</f>
        <v>56959.0107562293</v>
      </c>
      <c r="S17" s="12" t="n">
        <f aca="false">S12*S15</f>
        <v>63043.8957501438</v>
      </c>
      <c r="T17" s="12" t="n">
        <f aca="false">T12*T15</f>
        <v>68984.7309951138</v>
      </c>
      <c r="U17" s="12" t="n">
        <f aca="false">U12*U15</f>
        <v>74600.9002146365</v>
      </c>
    </row>
    <row r="18" customFormat="false" ht="15" hidden="false" customHeight="false" outlineLevel="0" collapsed="false">
      <c r="A18" s="2" t="s">
        <v>236</v>
      </c>
      <c r="B18" s="2" t="s">
        <v>237</v>
      </c>
      <c r="D18" s="15" t="n">
        <f aca="false">IF(D4&gt;=Assumptions!$E$31,1,0)</f>
        <v>0</v>
      </c>
      <c r="E18" s="15" t="n">
        <f aca="false">IF(E4&gt;=Assumptions!$E$31,1,0)</f>
        <v>0</v>
      </c>
      <c r="F18" s="15" t="n">
        <f aca="false">IF(F4&gt;=Assumptions!$E$31,1,0)</f>
        <v>1</v>
      </c>
      <c r="G18" s="15" t="n">
        <f aca="false">IF(G4&gt;=Assumptions!$E$31,1,0)</f>
        <v>1</v>
      </c>
      <c r="H18" s="15" t="n">
        <f aca="false">IF(H4&gt;=Assumptions!$E$31,1,0)</f>
        <v>1</v>
      </c>
      <c r="I18" s="15" t="n">
        <f aca="false">IF(I4&gt;=Assumptions!$E$31,1,0)</f>
        <v>1</v>
      </c>
      <c r="J18" s="15" t="n">
        <f aca="false">IF(J4&gt;=Assumptions!$E$31,1,0)</f>
        <v>1</v>
      </c>
      <c r="K18" s="15" t="n">
        <f aca="false">IF(K4&gt;=Assumptions!$E$31,1,0)</f>
        <v>1</v>
      </c>
      <c r="L18" s="15" t="n">
        <f aca="false">IF(L4&gt;=Assumptions!$E$31,1,0)</f>
        <v>1</v>
      </c>
      <c r="M18" s="15" t="n">
        <f aca="false">IF(M4&gt;=Assumptions!$E$31,1,0)</f>
        <v>1</v>
      </c>
      <c r="N18" s="15" t="n">
        <f aca="false">IF(N4&gt;=Assumptions!$E$31,1,0)</f>
        <v>1</v>
      </c>
      <c r="O18" s="15" t="n">
        <f aca="false">IF(O4&gt;=Assumptions!$E$31,1,0)</f>
        <v>1</v>
      </c>
      <c r="P18" s="15" t="n">
        <f aca="false">IF(P4&gt;=Assumptions!$E$31,1,0)</f>
        <v>1</v>
      </c>
      <c r="Q18" s="15" t="n">
        <f aca="false">IF(Q4&gt;=Assumptions!$E$31,1,0)</f>
        <v>1</v>
      </c>
      <c r="R18" s="15" t="n">
        <f aca="false">IF(R4&gt;=Assumptions!$E$31,1,0)</f>
        <v>1</v>
      </c>
      <c r="S18" s="15" t="n">
        <f aca="false">IF(S4&gt;=Assumptions!$E$31,1,0)</f>
        <v>1</v>
      </c>
      <c r="T18" s="15" t="n">
        <f aca="false">IF(T4&gt;=Assumptions!$E$31,1,0)</f>
        <v>1</v>
      </c>
      <c r="U18" s="15" t="n">
        <f aca="false">IF(U4&gt;=Assumptions!$E$31,1,0)</f>
        <v>1</v>
      </c>
    </row>
    <row r="19" customFormat="false" ht="15" hidden="false" customHeight="false" outlineLevel="0" collapsed="false">
      <c r="A19" s="2" t="s">
        <v>238</v>
      </c>
      <c r="B19" s="2" t="s">
        <v>122</v>
      </c>
      <c r="D19" s="19" t="n">
        <f aca="false">Assumptions!$E$20*D6*(1-Assumptions!$E$21*Assumptions!$E$22*D18)</f>
        <v>0.04</v>
      </c>
      <c r="E19" s="19" t="n">
        <f aca="false">Assumptions!$E$20*E6*(1-Assumptions!$E$21*Assumptions!$E$22*E18)</f>
        <v>0.04</v>
      </c>
      <c r="F19" s="19" t="n">
        <f aca="false">Assumptions!$E$20*F6*(1-Assumptions!$E$21*Assumptions!$E$22*F18)</f>
        <v>0.0316</v>
      </c>
      <c r="G19" s="19" t="n">
        <f aca="false">Assumptions!$E$20*G6*(1-Assumptions!$E$21*Assumptions!$E$22*G18)</f>
        <v>0.0316</v>
      </c>
      <c r="H19" s="19" t="n">
        <f aca="false">Assumptions!$E$20*H6*(1-Assumptions!$E$21*Assumptions!$E$22*H18)</f>
        <v>0.0316</v>
      </c>
      <c r="I19" s="19" t="n">
        <f aca="false">Assumptions!$E$20*I6*(1-Assumptions!$E$21*Assumptions!$E$22*I18)</f>
        <v>0.04108</v>
      </c>
      <c r="J19" s="19" t="n">
        <f aca="false">Assumptions!$E$20*J6*(1-Assumptions!$E$21*Assumptions!$E$22*J18)</f>
        <v>0.04424</v>
      </c>
      <c r="K19" s="19" t="n">
        <f aca="false">Assumptions!$E$20*K6*(1-Assumptions!$E$21*Assumptions!$E$22*K18)</f>
        <v>0.03792</v>
      </c>
      <c r="L19" s="19" t="n">
        <f aca="false">Assumptions!$E$20*L6*(1-Assumptions!$E$21*Assumptions!$E$22*L18)</f>
        <v>0.0316</v>
      </c>
      <c r="M19" s="19" t="n">
        <f aca="false">Assumptions!$E$20*M6*(1-Assumptions!$E$21*Assumptions!$E$22*M18)</f>
        <v>0.0316</v>
      </c>
      <c r="N19" s="19" t="n">
        <f aca="false">Assumptions!$E$20*N6*(1-Assumptions!$E$21*Assumptions!$E$22*N18)</f>
        <v>0.0316</v>
      </c>
      <c r="O19" s="19" t="n">
        <f aca="false">Assumptions!$E$20*O6*(1-Assumptions!$E$21*Assumptions!$E$22*O18)</f>
        <v>0.0316</v>
      </c>
      <c r="P19" s="19" t="n">
        <f aca="false">Assumptions!$E$20*P6*(1-Assumptions!$E$21*Assumptions!$E$22*P18)</f>
        <v>0.0316</v>
      </c>
      <c r="Q19" s="19" t="n">
        <f aca="false">Assumptions!$E$20*Q6*(1-Assumptions!$E$21*Assumptions!$E$22*Q18)</f>
        <v>0.0316</v>
      </c>
      <c r="R19" s="19" t="n">
        <f aca="false">Assumptions!$E$20*R6*(1-Assumptions!$E$21*Assumptions!$E$22*R18)</f>
        <v>0.0316</v>
      </c>
      <c r="S19" s="19" t="n">
        <f aca="false">Assumptions!$E$20*S6*(1-Assumptions!$E$21*Assumptions!$E$22*S18)</f>
        <v>0.0316</v>
      </c>
      <c r="T19" s="19" t="n">
        <f aca="false">Assumptions!$E$20*T6*(1-Assumptions!$E$21*Assumptions!$E$22*T18)</f>
        <v>0.0316</v>
      </c>
      <c r="U19" s="19" t="n">
        <f aca="false">Assumptions!$E$20*U6*(1-Assumptions!$E$21*Assumptions!$E$22*U18)</f>
        <v>0.04108</v>
      </c>
    </row>
    <row r="20" customFormat="false" ht="15" hidden="false" customHeight="false" outlineLevel="0" collapsed="false">
      <c r="A20" s="2" t="s">
        <v>239</v>
      </c>
      <c r="B20" s="2" t="s">
        <v>28</v>
      </c>
      <c r="C20" s="12" t="n">
        <f aca="false">SUM(D20:U20)</f>
        <v>330638.825512076</v>
      </c>
      <c r="D20" s="12" t="n">
        <f aca="false">(0-D17)*D19</f>
        <v>0</v>
      </c>
      <c r="E20" s="12" t="n">
        <f aca="false">(D21-E17)*E19</f>
        <v>266</v>
      </c>
      <c r="F20" s="12" t="n">
        <f aca="false">(E21-F17)*F19</f>
        <v>706.49068</v>
      </c>
      <c r="G20" s="12" t="n">
        <f aca="false">(F21-G17)*G19</f>
        <v>1559.3381457864</v>
      </c>
      <c r="H20" s="12" t="n">
        <f aca="false">(G21-H17)*H19</f>
        <v>2823.82171486057</v>
      </c>
      <c r="I20" s="12" t="n">
        <f aca="false">(H21-I17)*I19</f>
        <v>5912.50168387116</v>
      </c>
      <c r="J20" s="12" t="n">
        <f aca="false">(I21-J17)*J19</f>
        <v>9423.93030342854</v>
      </c>
      <c r="K20" s="12" t="n">
        <f aca="false">(J21-K17)*K19</f>
        <v>11167.4176239018</v>
      </c>
      <c r="L20" s="12" t="n">
        <f aca="false">(K21-L17)*L19</f>
        <v>12275.6804061144</v>
      </c>
      <c r="M20" s="12" t="n">
        <f aca="false">(L21-M17)*M19</f>
        <v>15610.4217577324</v>
      </c>
      <c r="N20" s="12" t="n">
        <f aca="false">(M21-N17)*N19</f>
        <v>19197.9550415082</v>
      </c>
      <c r="O20" s="12" t="n">
        <f aca="false">(N21-O17)*O19</f>
        <v>22886.9999502748</v>
      </c>
      <c r="P20" s="12" t="n">
        <f aca="false">(O21-P17)*P19</f>
        <v>26650.0042218824</v>
      </c>
      <c r="Q20" s="12" t="n">
        <f aca="false">(P21-Q17)*Q19</f>
        <v>30462.5917912946</v>
      </c>
      <c r="R20" s="12" t="n">
        <f aca="false">(Q21-R17)*R19</f>
        <v>34198.1900580401</v>
      </c>
      <c r="S20" s="12" t="n">
        <f aca="false">(R21-S17)*S19</f>
        <v>37851.5550083863</v>
      </c>
      <c r="T20" s="12" t="n">
        <f aca="false">(S21-T17)*T19</f>
        <v>41418.4324894663</v>
      </c>
      <c r="U20" s="12" t="n">
        <f aca="false">(T21-U17)*U19</f>
        <v>58227.4946355281</v>
      </c>
    </row>
    <row r="21" customFormat="false" ht="15" hidden="false" customHeight="false" outlineLevel="0" collapsed="false">
      <c r="A21" s="9" t="s">
        <v>240</v>
      </c>
      <c r="B21" s="2" t="s">
        <v>28</v>
      </c>
      <c r="D21" s="10" t="n">
        <f aca="false">0+D16-D17-D20</f>
        <v>7000</v>
      </c>
      <c r="E21" s="10" t="n">
        <f aca="false">D21+E16-E17-E20</f>
        <v>23534</v>
      </c>
      <c r="F21" s="10" t="n">
        <f aca="false">E21+F16-F17-F20</f>
        <v>51943.30932</v>
      </c>
      <c r="G21" s="10" t="n">
        <f aca="false">F21+G16-G17-G20</f>
        <v>94064.6807082136</v>
      </c>
      <c r="H21" s="10" t="n">
        <f aca="false">G21+H16-H17-H20</f>
        <v>151501.606207942</v>
      </c>
      <c r="I21" s="10" t="n">
        <f aca="false">H21+I16-I17-I20</f>
        <v>224229.806401174</v>
      </c>
      <c r="J21" s="10" t="n">
        <f aca="false">I21+J16-J17-J20</f>
        <v>309999.378855812</v>
      </c>
      <c r="K21" s="10" t="n">
        <f aca="false">J21+K16-K17-K20</f>
        <v>408916.735713338</v>
      </c>
      <c r="L21" s="10" t="n">
        <f aca="false">K21+L16-L17-L20</f>
        <v>520000.724774565</v>
      </c>
      <c r="M21" s="10" t="n">
        <f aca="false">L21+M16-M17-M20</f>
        <v>639505.497718462</v>
      </c>
      <c r="N21" s="10" t="n">
        <f aca="false">M21+N16-N17-N20</f>
        <v>762391.73718437</v>
      </c>
      <c r="O21" s="10" t="n">
        <f aca="false">N21+O16-O17-O20</f>
        <v>887741.646298549</v>
      </c>
      <c r="P21" s="10" t="n">
        <f aca="false">O21+P16-P17-P20</f>
        <v>1014743.23088923</v>
      </c>
      <c r="Q21" s="10" t="n">
        <f aca="false">P21+Q16-Q17-Q20</f>
        <v>1139180.21512459</v>
      </c>
      <c r="R21" s="10" t="n">
        <f aca="false">Q21+R16-R17-R20</f>
        <v>1260877.91500288</v>
      </c>
      <c r="S21" s="10" t="n">
        <f aca="false">R21+S16-S17-S20</f>
        <v>1379694.61990228</v>
      </c>
      <c r="T21" s="10" t="n">
        <f aca="false">S21+T16-T17-T20</f>
        <v>1492018.00429273</v>
      </c>
      <c r="U21" s="10" t="n">
        <f aca="false">T21+U16-U17-U20</f>
        <v>1584779.82992385</v>
      </c>
    </row>
    <row r="22" customFormat="false" ht="15" hidden="false" customHeight="false" outlineLevel="0" collapsed="false">
      <c r="A22" s="2" t="s">
        <v>56</v>
      </c>
      <c r="B22" s="2" t="s">
        <v>34</v>
      </c>
      <c r="D22" s="18" t="n">
        <f aca="false">IF(D4&lt;Assumptions!$E$33,0,MIN(1,(D4-Assumptions!$E$33+1)/Assumptions!$E$28))*Assumptions!$E$27</f>
        <v>0</v>
      </c>
      <c r="E22" s="18" t="n">
        <f aca="false">IF(E4&lt;Assumptions!$E$33,0,MIN(1,(E4-Assumptions!$E$33+1)/Assumptions!$E$28))*Assumptions!$E$27</f>
        <v>0</v>
      </c>
      <c r="F22" s="18" t="n">
        <f aca="false">IF(F4&lt;Assumptions!$E$33,0,MIN(1,(F4-Assumptions!$E$33+1)/Assumptions!$E$28))*Assumptions!$E$27</f>
        <v>0</v>
      </c>
      <c r="G22" s="18" t="n">
        <f aca="false">IF(G4&lt;Assumptions!$E$33,0,MIN(1,(G4-Assumptions!$E$33+1)/Assumptions!$E$28))*Assumptions!$E$27</f>
        <v>0</v>
      </c>
      <c r="H22" s="18" t="n">
        <f aca="false">IF(H4&lt;Assumptions!$E$33,0,MIN(1,(H4-Assumptions!$E$33+1)/Assumptions!$E$28))*Assumptions!$E$27</f>
        <v>0.0333333333333333</v>
      </c>
      <c r="I22" s="18" t="n">
        <f aca="false">IF(I4&lt;Assumptions!$E$33,0,MIN(1,(I4-Assumptions!$E$33+1)/Assumptions!$E$28))*Assumptions!$E$27</f>
        <v>0.0666666666666667</v>
      </c>
      <c r="J22" s="18" t="n">
        <f aca="false">IF(J4&lt;Assumptions!$E$33,0,MIN(1,(J4-Assumptions!$E$33+1)/Assumptions!$E$28))*Assumptions!$E$27</f>
        <v>0.1</v>
      </c>
      <c r="K22" s="18" t="n">
        <f aca="false">IF(K4&lt;Assumptions!$E$33,0,MIN(1,(K4-Assumptions!$E$33+1)/Assumptions!$E$28))*Assumptions!$E$27</f>
        <v>0.133333333333333</v>
      </c>
      <c r="L22" s="18" t="n">
        <f aca="false">IF(L4&lt;Assumptions!$E$33,0,MIN(1,(L4-Assumptions!$E$33+1)/Assumptions!$E$28))*Assumptions!$E$27</f>
        <v>0.166666666666667</v>
      </c>
      <c r="M22" s="18" t="n">
        <f aca="false">IF(M4&lt;Assumptions!$E$33,0,MIN(1,(M4-Assumptions!$E$33+1)/Assumptions!$E$28))*Assumptions!$E$27</f>
        <v>0.2</v>
      </c>
      <c r="N22" s="18" t="n">
        <f aca="false">IF(N4&lt;Assumptions!$E$33,0,MIN(1,(N4-Assumptions!$E$33+1)/Assumptions!$E$28))*Assumptions!$E$27</f>
        <v>0.2</v>
      </c>
      <c r="O22" s="18" t="n">
        <f aca="false">IF(O4&lt;Assumptions!$E$33,0,MIN(1,(O4-Assumptions!$E$33+1)/Assumptions!$E$28))*Assumptions!$E$27</f>
        <v>0.2</v>
      </c>
      <c r="P22" s="18" t="n">
        <f aca="false">IF(P4&lt;Assumptions!$E$33,0,MIN(1,(P4-Assumptions!$E$33+1)/Assumptions!$E$28))*Assumptions!$E$27</f>
        <v>0.2</v>
      </c>
      <c r="Q22" s="18" t="n">
        <f aca="false">IF(Q4&lt;Assumptions!$E$33,0,MIN(1,(Q4-Assumptions!$E$33+1)/Assumptions!$E$28))*Assumptions!$E$27</f>
        <v>0.2</v>
      </c>
      <c r="R22" s="18" t="n">
        <f aca="false">IF(R4&lt;Assumptions!$E$33,0,MIN(1,(R4-Assumptions!$E$33+1)/Assumptions!$E$28))*Assumptions!$E$27</f>
        <v>0.2</v>
      </c>
      <c r="S22" s="18" t="n">
        <f aca="false">IF(S4&lt;Assumptions!$E$33,0,MIN(1,(S4-Assumptions!$E$33+1)/Assumptions!$E$28))*Assumptions!$E$27</f>
        <v>0.2</v>
      </c>
      <c r="T22" s="18" t="n">
        <f aca="false">IF(T4&lt;Assumptions!$E$33,0,MIN(1,(T4-Assumptions!$E$33+1)/Assumptions!$E$28))*Assumptions!$E$27</f>
        <v>0.2</v>
      </c>
      <c r="U22" s="18" t="n">
        <f aca="false">IF(U4&lt;Assumptions!$E$33,0,MIN(1,(U4-Assumptions!$E$33+1)/Assumptions!$E$28))*Assumptions!$E$27</f>
        <v>0.2</v>
      </c>
    </row>
    <row r="23" customFormat="false" ht="15" hidden="false" customHeight="false" outlineLevel="0" collapsed="false">
      <c r="A23" s="2" t="s">
        <v>241</v>
      </c>
      <c r="B23" s="2" t="s">
        <v>28</v>
      </c>
      <c r="D23" s="12" t="n">
        <f aca="false">D21*D22</f>
        <v>0</v>
      </c>
      <c r="E23" s="12" t="n">
        <f aca="false">E21*E22</f>
        <v>0</v>
      </c>
      <c r="F23" s="12" t="n">
        <f aca="false">F21*F22</f>
        <v>0</v>
      </c>
      <c r="G23" s="12" t="n">
        <f aca="false">G21*G22</f>
        <v>0</v>
      </c>
      <c r="H23" s="12" t="n">
        <f aca="false">H21*H22</f>
        <v>5050.05354026475</v>
      </c>
      <c r="I23" s="12" t="n">
        <f aca="false">I21*I22</f>
        <v>14948.6537600783</v>
      </c>
      <c r="J23" s="12" t="n">
        <f aca="false">J21*J22</f>
        <v>30999.9378855812</v>
      </c>
      <c r="K23" s="12" t="n">
        <f aca="false">K21*K22</f>
        <v>54522.2314284451</v>
      </c>
      <c r="L23" s="12" t="n">
        <f aca="false">L21*L22</f>
        <v>86666.7874624275</v>
      </c>
      <c r="M23" s="12" t="n">
        <f aca="false">M21*M22</f>
        <v>127901.099543692</v>
      </c>
      <c r="N23" s="12" t="n">
        <f aca="false">N21*N22</f>
        <v>152478.347436874</v>
      </c>
      <c r="O23" s="12" t="n">
        <f aca="false">O21*O22</f>
        <v>177548.32925971</v>
      </c>
      <c r="P23" s="12" t="n">
        <f aca="false">P21*P22</f>
        <v>202948.646177846</v>
      </c>
      <c r="Q23" s="12" t="n">
        <f aca="false">Q21*Q22</f>
        <v>227836.043024917</v>
      </c>
      <c r="R23" s="12" t="n">
        <f aca="false">R21*R22</f>
        <v>252175.583000575</v>
      </c>
      <c r="S23" s="12" t="n">
        <f aca="false">S21*S22</f>
        <v>275938.923980455</v>
      </c>
      <c r="T23" s="12" t="n">
        <f aca="false">T21*T22</f>
        <v>298403.600858546</v>
      </c>
      <c r="U23" s="12" t="n">
        <f aca="false">U21*U22</f>
        <v>316955.96598477</v>
      </c>
    </row>
    <row r="24" customFormat="false" ht="15" hidden="false" customHeight="false" outlineLevel="0" collapsed="false">
      <c r="A24" s="2" t="s">
        <v>242</v>
      </c>
      <c r="B24" s="2" t="s">
        <v>28</v>
      </c>
      <c r="D24" s="12" t="n">
        <f aca="false">D21-D23</f>
        <v>7000</v>
      </c>
      <c r="E24" s="12" t="n">
        <f aca="false">E21-E23</f>
        <v>23534</v>
      </c>
      <c r="F24" s="12" t="n">
        <f aca="false">F21-F23</f>
        <v>51943.30932</v>
      </c>
      <c r="G24" s="12" t="n">
        <f aca="false">G21-G23</f>
        <v>94064.6807082136</v>
      </c>
      <c r="H24" s="12" t="n">
        <f aca="false">H21-H23</f>
        <v>146451.552667678</v>
      </c>
      <c r="I24" s="12" t="n">
        <f aca="false">I21-I23</f>
        <v>209281.152641096</v>
      </c>
      <c r="J24" s="12" t="n">
        <f aca="false">J21-J23</f>
        <v>278999.440970231</v>
      </c>
      <c r="K24" s="12" t="n">
        <f aca="false">K21-K23</f>
        <v>354394.504284893</v>
      </c>
      <c r="L24" s="12" t="n">
        <f aca="false">L21-L23</f>
        <v>433333.937312137</v>
      </c>
      <c r="M24" s="12" t="n">
        <f aca="false">M21-M23</f>
        <v>511604.398174769</v>
      </c>
      <c r="N24" s="12" t="n">
        <f aca="false">N21-N23</f>
        <v>609913.389747496</v>
      </c>
      <c r="O24" s="12" t="n">
        <f aca="false">O21-O23</f>
        <v>710193.317038839</v>
      </c>
      <c r="P24" s="12" t="n">
        <f aca="false">P21-P23</f>
        <v>811794.584711382</v>
      </c>
      <c r="Q24" s="12" t="n">
        <f aca="false">Q21-Q23</f>
        <v>911344.172099669</v>
      </c>
      <c r="R24" s="12" t="n">
        <f aca="false">R21-R23</f>
        <v>1008702.3320023</v>
      </c>
      <c r="S24" s="12" t="n">
        <f aca="false">S21-S23</f>
        <v>1103755.69592182</v>
      </c>
      <c r="T24" s="12" t="n">
        <f aca="false">T21-T23</f>
        <v>1193614.40343418</v>
      </c>
      <c r="U24" s="12" t="n">
        <f aca="false">U21-U23</f>
        <v>1267823.86393908</v>
      </c>
    </row>
    <row r="25" customFormat="false" ht="15" hidden="false" customHeight="false" outlineLevel="0" collapsed="false">
      <c r="A25" s="2" t="s">
        <v>243</v>
      </c>
      <c r="B25" s="2" t="s">
        <v>28</v>
      </c>
      <c r="D25" s="12" t="n">
        <f aca="false">(0+D21)/2</f>
        <v>3500</v>
      </c>
      <c r="E25" s="12" t="n">
        <f aca="false">(D21+E21)/2</f>
        <v>15267</v>
      </c>
      <c r="F25" s="12" t="n">
        <f aca="false">(E21+F21)/2</f>
        <v>37738.65466</v>
      </c>
      <c r="G25" s="12" t="n">
        <f aca="false">(F21+G21)/2</f>
        <v>73003.9950141068</v>
      </c>
      <c r="H25" s="12" t="n">
        <f aca="false">(G21+H21)/2</f>
        <v>122783.143458078</v>
      </c>
      <c r="I25" s="12" t="n">
        <f aca="false">(H21+I21)/2</f>
        <v>187865.706304558</v>
      </c>
      <c r="J25" s="12" t="n">
        <f aca="false">(I21+J21)/2</f>
        <v>267114.592628493</v>
      </c>
      <c r="K25" s="12" t="n">
        <f aca="false">(J21+K21)/2</f>
        <v>359458.057284575</v>
      </c>
      <c r="L25" s="12" t="n">
        <f aca="false">(K21+L21)/2</f>
        <v>464458.730243951</v>
      </c>
      <c r="M25" s="12" t="n">
        <f aca="false">(L21+M21)/2</f>
        <v>579753.111246513</v>
      </c>
      <c r="N25" s="12" t="n">
        <f aca="false">(M21+N21)/2</f>
        <v>700948.617451416</v>
      </c>
      <c r="O25" s="12" t="n">
        <f aca="false">(N21+O21)/2</f>
        <v>825066.691741459</v>
      </c>
      <c r="P25" s="12" t="n">
        <f aca="false">(O21+P21)/2</f>
        <v>951242.438593888</v>
      </c>
      <c r="Q25" s="12" t="n">
        <f aca="false">(P21+Q21)/2</f>
        <v>1076961.72300691</v>
      </c>
      <c r="R25" s="12" t="n">
        <f aca="false">(Q21+R21)/2</f>
        <v>1200029.06506373</v>
      </c>
      <c r="S25" s="12" t="n">
        <f aca="false">(R21+S21)/2</f>
        <v>1320286.26745258</v>
      </c>
      <c r="T25" s="12" t="n">
        <f aca="false">(S21+T21)/2</f>
        <v>1435856.3120975</v>
      </c>
      <c r="U25" s="12" t="n">
        <f aca="false">(T21+U21)/2</f>
        <v>1538398.91710829</v>
      </c>
    </row>
    <row r="26" customFormat="false" ht="15" hidden="false" customHeight="false" outlineLevel="0" collapsed="false">
      <c r="A26" s="6" t="s">
        <v>244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customFormat="false" ht="15" hidden="false" customHeight="false" outlineLevel="0" collapsed="false">
      <c r="A27" s="2" t="s">
        <v>245</v>
      </c>
      <c r="B27" s="2" t="s">
        <v>233</v>
      </c>
      <c r="D27" s="11" t="n">
        <f aca="false">IF(0&gt;0,0/0,0)</f>
        <v>0</v>
      </c>
      <c r="E27" s="11" t="n">
        <f aca="false">IF(D11&gt;0,D30/D11,0)</f>
        <v>0.8</v>
      </c>
      <c r="F27" s="11" t="n">
        <f aca="false">IF(E11&gt;0,E30/E11,0)</f>
        <v>1.09779591836735</v>
      </c>
      <c r="G27" s="11" t="n">
        <f aca="false">IF(F11&gt;0,F30/F11,0)</f>
        <v>1.3668203812825</v>
      </c>
      <c r="H27" s="11" t="n">
        <f aca="false">IF(G11&gt;0,G30/G11,0)</f>
        <v>1.61595835238329</v>
      </c>
      <c r="I27" s="11" t="n">
        <f aca="false">IF(H11&gt;0,H30/H11,0)</f>
        <v>1.84984643620132</v>
      </c>
      <c r="J27" s="11" t="n">
        <f aca="false">IF(I11&gt;0,I30/I11,0)</f>
        <v>2.05531720022248</v>
      </c>
      <c r="K27" s="11" t="n">
        <f aca="false">IF(J11&gt;0,J30/J11,0)</f>
        <v>2.29347934679786</v>
      </c>
      <c r="L27" s="11" t="n">
        <f aca="false">IF(K11&gt;0,K30/K11,0)</f>
        <v>2.55744002239919</v>
      </c>
      <c r="M27" s="11" t="n">
        <f aca="false">IF(L11&gt;0,L30/L11,0)</f>
        <v>2.83686226732748</v>
      </c>
      <c r="N27" s="11" t="n">
        <f aca="false">IF(M11&gt;0,M30/M11,0)</f>
        <v>3.10925560465964</v>
      </c>
      <c r="O27" s="11" t="n">
        <f aca="false">IF(N11&gt;0,N30/N11,0)</f>
        <v>3.42476367489521</v>
      </c>
      <c r="P27" s="11" t="n">
        <f aca="false">IF(O11&gt;0,O30/O11,0)</f>
        <v>3.71728303393367</v>
      </c>
      <c r="Q27" s="11" t="n">
        <f aca="false">IF(P11&gt;0,P30/P11,0)</f>
        <v>3.99017862013611</v>
      </c>
      <c r="R27" s="11" t="n">
        <f aca="false">IF(Q11&gt;0,Q30/Q11,0)</f>
        <v>4.30458400047538</v>
      </c>
      <c r="S27" s="11" t="n">
        <f aca="false">IF(R11&gt;0,R30/R11,0)</f>
        <v>4.59265271371053</v>
      </c>
      <c r="T27" s="11" t="n">
        <f aca="false">IF(S11&gt;0,S30/S11,0)</f>
        <v>4.85777547692257</v>
      </c>
      <c r="U27" s="11" t="n">
        <f aca="false">IF(T11&gt;0,T30/T11,0)</f>
        <v>5.17033145222628</v>
      </c>
    </row>
    <row r="28" customFormat="false" ht="15" hidden="false" customHeight="false" outlineLevel="0" collapsed="false">
      <c r="A28" s="2" t="s">
        <v>246</v>
      </c>
      <c r="B28" s="2" t="s">
        <v>28</v>
      </c>
      <c r="C28" s="12" t="n">
        <f aca="false">SUM(D28:U28)</f>
        <v>504550.034499149</v>
      </c>
      <c r="D28" s="12" t="n">
        <f aca="false">D12*D27</f>
        <v>0</v>
      </c>
      <c r="E28" s="12" t="n">
        <f aca="false">E12*E27</f>
        <v>350</v>
      </c>
      <c r="F28" s="12" t="n">
        <f aca="false">F12*F27</f>
        <v>1176.7</v>
      </c>
      <c r="G28" s="12" t="n">
        <f aca="false">G12*G27</f>
        <v>2587.7754</v>
      </c>
      <c r="H28" s="12" t="n">
        <f aca="false">H12*H27</f>
        <v>4673.9449148</v>
      </c>
      <c r="I28" s="12" t="n">
        <f aca="false">I12*I27</f>
        <v>7510.8368247976</v>
      </c>
      <c r="J28" s="12" t="n">
        <f aca="false">J12*J27</f>
        <v>11075.0487537877</v>
      </c>
      <c r="K28" s="12" t="n">
        <f aca="false">K12*K27</f>
        <v>15252.3533763031</v>
      </c>
      <c r="L28" s="12" t="n">
        <f aca="false">L12*L27</f>
        <v>20073.4655647394</v>
      </c>
      <c r="M28" s="12" t="n">
        <f aca="false">M12*M27</f>
        <v>25497.2759076928</v>
      </c>
      <c r="N28" s="12" t="n">
        <f aca="false">N12*N27</f>
        <v>31309.2771748337</v>
      </c>
      <c r="O28" s="12" t="n">
        <f aca="false">O12*O27</f>
        <v>37257.0342531153</v>
      </c>
      <c r="P28" s="12" t="n">
        <f aca="false">P12*P27</f>
        <v>43296.2400350248</v>
      </c>
      <c r="Q28" s="12" t="n">
        <f aca="false">Q12*Q27</f>
        <v>49388.104468317</v>
      </c>
      <c r="R28" s="12" t="n">
        <f aca="false">R12*R27</f>
        <v>55323.7881536608</v>
      </c>
      <c r="S28" s="12" t="n">
        <f aca="false">S12*S27</f>
        <v>61098.0398307666</v>
      </c>
      <c r="T28" s="12" t="n">
        <f aca="false">T12*T27</f>
        <v>66707.0201085557</v>
      </c>
      <c r="U28" s="12" t="n">
        <f aca="false">U12*U27</f>
        <v>71973.1297327545</v>
      </c>
    </row>
    <row r="29" customFormat="false" ht="15" hidden="false" customHeight="false" outlineLevel="0" collapsed="false">
      <c r="A29" s="2" t="s">
        <v>247</v>
      </c>
      <c r="B29" s="2" t="s">
        <v>28</v>
      </c>
      <c r="C29" s="12" t="n">
        <f aca="false">SUM(D29:U29)</f>
        <v>407265.543128825</v>
      </c>
      <c r="D29" s="12" t="n">
        <f aca="false">(0-D28)*Assumptions!$E$20*D6</f>
        <v>0</v>
      </c>
      <c r="E29" s="12" t="n">
        <f aca="false">(D30-E28)*Assumptions!$E$20*E6</f>
        <v>266</v>
      </c>
      <c r="F29" s="12" t="n">
        <f aca="false">(E30-F28)*Assumptions!$E$20*F6</f>
        <v>894.292</v>
      </c>
      <c r="G29" s="12" t="n">
        <f aca="false">(F30-G28)*Assumptions!$E$20*G6</f>
        <v>1966.709304</v>
      </c>
      <c r="H29" s="12" t="n">
        <f aca="false">(G30-H28)*Assumptions!$E$20*H6</f>
        <v>3552.198135248</v>
      </c>
      <c r="I29" s="12" t="n">
        <f aca="false">(H30-I28)*Assumptions!$E$20*I6</f>
        <v>7420.70678290003</v>
      </c>
      <c r="J29" s="12" t="n">
        <f aca="false">(I30-J28)*Assumptions!$E$20*J6</f>
        <v>11783.8518740301</v>
      </c>
      <c r="K29" s="12" t="n">
        <f aca="false">(J30-K28)*Assumptions!$E$20*K6</f>
        <v>13910.1462791884</v>
      </c>
      <c r="L29" s="12" t="n">
        <f aca="false">(K30-L28)*Assumptions!$E$20*L6</f>
        <v>15255.833829202</v>
      </c>
      <c r="M29" s="12" t="n">
        <f aca="false">(L30-M28)*Assumptions!$E$20*M6</f>
        <v>19377.9296898465</v>
      </c>
      <c r="N29" s="12" t="n">
        <f aca="false">(M30-N28)*Assumptions!$E$20*N6</f>
        <v>23795.0506528736</v>
      </c>
      <c r="O29" s="12" t="n">
        <f aca="false">(N30-O28)*Assumptions!$E$20*O6</f>
        <v>28315.3460323676</v>
      </c>
      <c r="P29" s="12" t="n">
        <f aca="false">(O30-P28)*Assumptions!$E$20*P6</f>
        <v>32905.1424266188</v>
      </c>
      <c r="Q29" s="12" t="n">
        <f aca="false">(P30-Q28)*Assumptions!$E$20*Q6</f>
        <v>37534.9593959209</v>
      </c>
      <c r="R29" s="12" t="n">
        <f aca="false">(Q30-R28)*Assumptions!$E$20*R6</f>
        <v>42046.0789967822</v>
      </c>
      <c r="S29" s="12" t="n">
        <f aca="false">(R30-S28)*Assumptions!$E$20*S6</f>
        <v>46434.5102713826</v>
      </c>
      <c r="T29" s="12" t="n">
        <f aca="false">(S30-T28)*Assumptions!$E$20*T6</f>
        <v>50697.3352825023</v>
      </c>
      <c r="U29" s="12" t="n">
        <f aca="false">(T30-U28)*Assumptions!$E$20*U6</f>
        <v>71109.4521759615</v>
      </c>
    </row>
    <row r="30" customFormat="false" ht="15" hidden="false" customHeight="false" outlineLevel="0" collapsed="false">
      <c r="A30" s="2" t="s">
        <v>248</v>
      </c>
      <c r="B30" s="2" t="s">
        <v>28</v>
      </c>
      <c r="D30" s="12" t="n">
        <f aca="false">0+D16-D28-D29</f>
        <v>7000</v>
      </c>
      <c r="E30" s="12" t="n">
        <f aca="false">D30+E16-E28-E29</f>
        <v>23534</v>
      </c>
      <c r="F30" s="12" t="n">
        <f aca="false">E30+F16-F28-F29</f>
        <v>51755.508</v>
      </c>
      <c r="G30" s="12" t="n">
        <f aca="false">F30+G16-G28-G29</f>
        <v>93478.898296</v>
      </c>
      <c r="H30" s="12" t="n">
        <f aca="false">G30+H16-H28-H29</f>
        <v>150216.736495952</v>
      </c>
      <c r="I30" s="12" t="n">
        <f aca="false">H30+I16-I28-I29</f>
        <v>221500.975075754</v>
      </c>
      <c r="J30" s="12" t="n">
        <f aca="false">I30+J16-J28-J29</f>
        <v>305047.067526062</v>
      </c>
      <c r="K30" s="12" t="n">
        <f aca="false">J30+K16-K28-K29</f>
        <v>401469.311294789</v>
      </c>
      <c r="L30" s="12" t="n">
        <f aca="false">K30+L16-L28-L29</f>
        <v>509945.518153855</v>
      </c>
      <c r="M30" s="12" t="n">
        <f aca="false">L30+M16-M28-M29</f>
        <v>626185.543496673</v>
      </c>
      <c r="N30" s="12" t="n">
        <f aca="false">M30+N16-N28-N29</f>
        <v>745140.685062306</v>
      </c>
      <c r="O30" s="12" t="n">
        <f aca="false">N30+O16-O28-O29</f>
        <v>865924.800700495</v>
      </c>
      <c r="P30" s="12" t="n">
        <f aca="false">O30+P16-P28-P29</f>
        <v>987762.08936634</v>
      </c>
      <c r="Q30" s="12" t="n">
        <f aca="false">P30+Q16-Q28-Q29</f>
        <v>1106475.76307322</v>
      </c>
      <c r="R30" s="12" t="n">
        <f aca="false">Q30+R16-R28-R29</f>
        <v>1221960.79661533</v>
      </c>
      <c r="S30" s="12" t="n">
        <f aca="false">R30+S16-S28-S29</f>
        <v>1334140.40217111</v>
      </c>
      <c r="T30" s="12" t="n">
        <f aca="false">S30+T16-T28-T29</f>
        <v>1439462.59465509</v>
      </c>
      <c r="U30" s="12" t="n">
        <f aca="false">T30+U16-U28-U29</f>
        <v>1521970.23322766</v>
      </c>
    </row>
    <row r="31" customFormat="false" ht="15" hidden="false" customHeight="false" outlineLevel="0" collapsed="false">
      <c r="A31" s="9" t="s">
        <v>249</v>
      </c>
      <c r="B31" s="2" t="s">
        <v>28</v>
      </c>
      <c r="D31" s="10" t="n">
        <f aca="false">D21-D30</f>
        <v>0</v>
      </c>
      <c r="E31" s="10" t="n">
        <f aca="false">E21-E30</f>
        <v>0</v>
      </c>
      <c r="F31" s="10" t="n">
        <f aca="false">F21-F30</f>
        <v>187.801319999999</v>
      </c>
      <c r="G31" s="10" t="n">
        <f aca="false">G21-G30</f>
        <v>585.782412213594</v>
      </c>
      <c r="H31" s="10" t="n">
        <f aca="false">H21-H30</f>
        <v>1284.86971199038</v>
      </c>
      <c r="I31" s="10" t="n">
        <f aca="false">I21-I30</f>
        <v>2728.83132541974</v>
      </c>
      <c r="J31" s="10" t="n">
        <f aca="false">J21-J30</f>
        <v>4952.31132975029</v>
      </c>
      <c r="K31" s="10" t="n">
        <f aca="false">K21-K30</f>
        <v>7447.42441854946</v>
      </c>
      <c r="L31" s="10" t="n">
        <f aca="false">L21-L30</f>
        <v>10055.2066207096</v>
      </c>
      <c r="M31" s="10" t="n">
        <f aca="false">M21-M30</f>
        <v>13319.9542217882</v>
      </c>
      <c r="N31" s="10" t="n">
        <f aca="false">N21-N30</f>
        <v>17251.0521220642</v>
      </c>
      <c r="O31" s="10" t="n">
        <f aca="false">O21-O30</f>
        <v>21816.8455980537</v>
      </c>
      <c r="P31" s="10" t="n">
        <f aca="false">P21-P30</f>
        <v>26981.1415228874</v>
      </c>
      <c r="Q31" s="10" t="n">
        <f aca="false">Q21-Q30</f>
        <v>32704.4520513695</v>
      </c>
      <c r="R31" s="10" t="n">
        <f aca="false">R21-R30</f>
        <v>38917.1183875431</v>
      </c>
      <c r="S31" s="10" t="n">
        <f aca="false">S21-S30</f>
        <v>45554.2177311622</v>
      </c>
      <c r="T31" s="10" t="n">
        <f aca="false">T21-T30</f>
        <v>52555.40963764</v>
      </c>
      <c r="U31" s="10" t="n">
        <f aca="false">U21-U30</f>
        <v>62809.5966961915</v>
      </c>
    </row>
    <row r="32" customFormat="false" ht="15" hidden="false" customHeight="false" outlineLevel="0" collapsed="false">
      <c r="A32" s="6" t="s">
        <v>250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customFormat="false" ht="15" hidden="false" customHeight="false" outlineLevel="0" collapsed="false">
      <c r="A33" s="2" t="s">
        <v>251</v>
      </c>
      <c r="B33" s="2" t="s">
        <v>28</v>
      </c>
      <c r="C33" s="12" t="n">
        <f aca="false">SUM(D33:U33)</f>
        <v>5288.1256482405</v>
      </c>
      <c r="D33" s="12" t="n">
        <f aca="false">D25*(1-D22)*Assumptions!$E$24/12</f>
        <v>2.04166666666667</v>
      </c>
      <c r="E33" s="12" t="n">
        <f aca="false">E25*(1-E22)*Assumptions!$E$24/12</f>
        <v>8.90575</v>
      </c>
      <c r="F33" s="12" t="n">
        <f aca="false">F25*(1-F22)*Assumptions!$E$24/12</f>
        <v>22.0142152183333</v>
      </c>
      <c r="G33" s="12" t="n">
        <f aca="false">G25*(1-G22)*Assumptions!$E$24/12</f>
        <v>42.585663758229</v>
      </c>
      <c r="H33" s="12" t="n">
        <f aca="false">H25*(1-H22)*Assumptions!$E$24/12</f>
        <v>69.2360503388606</v>
      </c>
      <c r="I33" s="12" t="n">
        <f aca="false">I25*(1-I22)*Assumptions!$E$24/12</f>
        <v>102.282440099148</v>
      </c>
      <c r="J33" s="12" t="n">
        <f aca="false">J25*(1-J22)*Assumptions!$E$24/12</f>
        <v>140.235161129959</v>
      </c>
      <c r="K33" s="12" t="n">
        <f aca="false">K25*(1-K22)*Assumptions!$E$24/12</f>
        <v>181.726017849424</v>
      </c>
      <c r="L33" s="12" t="n">
        <f aca="false">L25*(1-L22)*Assumptions!$E$24/12</f>
        <v>225.778549424143</v>
      </c>
      <c r="M33" s="12" t="n">
        <f aca="false">M25*(1-M22)*Assumptions!$E$24/12</f>
        <v>270.55145191504</v>
      </c>
      <c r="N33" s="12" t="n">
        <f aca="false">N25*(1-N22)*Assumptions!$E$24/12</f>
        <v>327.109354810661</v>
      </c>
      <c r="O33" s="12" t="n">
        <f aca="false">O25*(1-O22)*Assumptions!$E$24/12</f>
        <v>385.031122812681</v>
      </c>
      <c r="P33" s="12" t="n">
        <f aca="false">P25*(1-P22)*Assumptions!$E$24/12</f>
        <v>443.913138010481</v>
      </c>
      <c r="Q33" s="12" t="n">
        <f aca="false">Q25*(1-Q22)*Assumptions!$E$24/12</f>
        <v>502.582137403223</v>
      </c>
      <c r="R33" s="12" t="n">
        <f aca="false">R25*(1-R22)*Assumptions!$E$24/12</f>
        <v>560.013563696408</v>
      </c>
      <c r="S33" s="12" t="n">
        <f aca="false">S25*(1-S22)*Assumptions!$E$24/12</f>
        <v>616.133591477869</v>
      </c>
      <c r="T33" s="12" t="n">
        <f aca="false">T25*(1-T22)*Assumptions!$E$24/12</f>
        <v>670.066278978835</v>
      </c>
      <c r="U33" s="12" t="n">
        <f aca="false">U25*(1-U22)*Assumptions!$E$24/12</f>
        <v>717.919494650535</v>
      </c>
    </row>
    <row r="34" customFormat="false" ht="15" hidden="false" customHeight="false" outlineLevel="0" collapsed="false">
      <c r="A34" s="2" t="s">
        <v>252</v>
      </c>
      <c r="B34" s="2" t="s">
        <v>28</v>
      </c>
      <c r="C34" s="12" t="n">
        <f aca="false">SUM(D34:U34)</f>
        <v>1745.31230769123</v>
      </c>
      <c r="D34" s="12" t="n">
        <f aca="false">D25*D22*Assumptions!$E$25/12</f>
        <v>0</v>
      </c>
      <c r="E34" s="12" t="n">
        <f aca="false">E25*E22*Assumptions!$E$25/12</f>
        <v>0</v>
      </c>
      <c r="F34" s="12" t="n">
        <f aca="false">F25*F22*Assumptions!$E$25/12</f>
        <v>0</v>
      </c>
      <c r="G34" s="12" t="n">
        <f aca="false">G25*G22*Assumptions!$E$25/12</f>
        <v>0</v>
      </c>
      <c r="H34" s="12" t="n">
        <f aca="false">H25*H22*Assumptions!$E$25/12</f>
        <v>3.4106428738355</v>
      </c>
      <c r="I34" s="12" t="n">
        <f aca="false">I25*I22*Assumptions!$E$25/12</f>
        <v>10.4369836835866</v>
      </c>
      <c r="J34" s="12" t="n">
        <f aca="false">J25*J22*Assumptions!$E$25/12</f>
        <v>22.2595493857077</v>
      </c>
      <c r="K34" s="12" t="n">
        <f aca="false">K25*K22*Assumptions!$E$25/12</f>
        <v>39.9397841427306</v>
      </c>
      <c r="L34" s="12" t="n">
        <f aca="false">L25*L22*Assumptions!$E$25/12</f>
        <v>64.5081569783266</v>
      </c>
      <c r="M34" s="12" t="n">
        <f aca="false">M25*M22*Assumptions!$E$25/12</f>
        <v>96.6255185410855</v>
      </c>
      <c r="N34" s="12" t="n">
        <f aca="false">N25*N22*Assumptions!$E$25/12</f>
        <v>116.824769575236</v>
      </c>
      <c r="O34" s="12" t="n">
        <f aca="false">O25*O22*Assumptions!$E$25/12</f>
        <v>137.511115290243</v>
      </c>
      <c r="P34" s="12" t="n">
        <f aca="false">P25*P22*Assumptions!$E$25/12</f>
        <v>158.540406432315</v>
      </c>
      <c r="Q34" s="12" t="n">
        <f aca="false">Q25*Q22*Assumptions!$E$25/12</f>
        <v>179.493620501151</v>
      </c>
      <c r="R34" s="12" t="n">
        <f aca="false">R25*R22*Assumptions!$E$25/12</f>
        <v>200.004844177288</v>
      </c>
      <c r="S34" s="12" t="n">
        <f aca="false">S25*S22*Assumptions!$E$25/12</f>
        <v>220.047711242096</v>
      </c>
      <c r="T34" s="12" t="n">
        <f aca="false">T25*T22*Assumptions!$E$25/12</f>
        <v>239.309385349584</v>
      </c>
      <c r="U34" s="12" t="n">
        <f aca="false">U25*U22*Assumptions!$E$25/12</f>
        <v>256.399819518048</v>
      </c>
    </row>
    <row r="35" customFormat="false" ht="15" hidden="false" customHeight="false" outlineLevel="0" collapsed="false">
      <c r="A35" s="2" t="s">
        <v>253</v>
      </c>
      <c r="B35" s="2" t="s">
        <v>28</v>
      </c>
      <c r="C35" s="12" t="n">
        <f aca="false">SUM(D35:U35)</f>
        <v>7033.43795593173</v>
      </c>
      <c r="D35" s="12" t="n">
        <f aca="false">D33+D34</f>
        <v>2.04166666666667</v>
      </c>
      <c r="E35" s="12" t="n">
        <f aca="false">E33+E34</f>
        <v>8.90575</v>
      </c>
      <c r="F35" s="12" t="n">
        <f aca="false">F33+F34</f>
        <v>22.0142152183333</v>
      </c>
      <c r="G35" s="12" t="n">
        <f aca="false">G33+G34</f>
        <v>42.585663758229</v>
      </c>
      <c r="H35" s="12" t="n">
        <f aca="false">H33+H34</f>
        <v>72.6466932126961</v>
      </c>
      <c r="I35" s="12" t="n">
        <f aca="false">I33+I34</f>
        <v>112.719423782735</v>
      </c>
      <c r="J35" s="12" t="n">
        <f aca="false">J33+J34</f>
        <v>162.494710515667</v>
      </c>
      <c r="K35" s="12" t="n">
        <f aca="false">K33+K34</f>
        <v>221.665801992155</v>
      </c>
      <c r="L35" s="12" t="n">
        <f aca="false">L33+L34</f>
        <v>290.28670640247</v>
      </c>
      <c r="M35" s="12" t="n">
        <f aca="false">M33+M34</f>
        <v>367.176970456125</v>
      </c>
      <c r="N35" s="12" t="n">
        <f aca="false">N33+N34</f>
        <v>443.934124385897</v>
      </c>
      <c r="O35" s="12" t="n">
        <f aca="false">O33+O34</f>
        <v>522.542238102924</v>
      </c>
      <c r="P35" s="12" t="n">
        <f aca="false">P33+P34</f>
        <v>602.453544442796</v>
      </c>
      <c r="Q35" s="12" t="n">
        <f aca="false">Q33+Q34</f>
        <v>682.075757904375</v>
      </c>
      <c r="R35" s="12" t="n">
        <f aca="false">R33+R34</f>
        <v>760.018407873696</v>
      </c>
      <c r="S35" s="12" t="n">
        <f aca="false">S33+S34</f>
        <v>836.181302719965</v>
      </c>
      <c r="T35" s="12" t="n">
        <f aca="false">T33+T34</f>
        <v>909.375664328419</v>
      </c>
      <c r="U35" s="12" t="n">
        <f aca="false">U33+U34</f>
        <v>974.319314168583</v>
      </c>
    </row>
    <row r="36" customFormat="false" ht="15" hidden="false" customHeight="false" outlineLevel="0" collapsed="false">
      <c r="A36" s="9" t="s">
        <v>254</v>
      </c>
      <c r="B36" s="2" t="s">
        <v>28</v>
      </c>
      <c r="C36" s="10" t="n">
        <f aca="false">SUM(D36:U36)</f>
        <v>6330.09416033856</v>
      </c>
      <c r="D36" s="10" t="n">
        <f aca="false">D35*Assumptions!$E$26</f>
        <v>1.8375</v>
      </c>
      <c r="E36" s="10" t="n">
        <f aca="false">E35*Assumptions!$E$26</f>
        <v>8.015175</v>
      </c>
      <c r="F36" s="10" t="n">
        <f aca="false">F35*Assumptions!$E$26</f>
        <v>19.8127936965</v>
      </c>
      <c r="G36" s="10" t="n">
        <f aca="false">G35*Assumptions!$E$26</f>
        <v>38.3270973824061</v>
      </c>
      <c r="H36" s="10" t="n">
        <f aca="false">H35*Assumptions!$E$26</f>
        <v>65.3820238914265</v>
      </c>
      <c r="I36" s="10" t="n">
        <f aca="false">I35*Assumptions!$E$26</f>
        <v>101.447481404461</v>
      </c>
      <c r="J36" s="10" t="n">
        <f aca="false">J35*Assumptions!$E$26</f>
        <v>146.2452394641</v>
      </c>
      <c r="K36" s="10" t="n">
        <f aca="false">K35*Assumptions!$E$26</f>
        <v>199.499221792939</v>
      </c>
      <c r="L36" s="10" t="n">
        <f aca="false">L35*Assumptions!$E$26</f>
        <v>261.258035762223</v>
      </c>
      <c r="M36" s="10" t="n">
        <f aca="false">M35*Assumptions!$E$26</f>
        <v>330.459273410513</v>
      </c>
      <c r="N36" s="10" t="n">
        <f aca="false">N35*Assumptions!$E$26</f>
        <v>399.540711947307</v>
      </c>
      <c r="O36" s="10" t="n">
        <f aca="false">O35*Assumptions!$E$26</f>
        <v>470.288014292632</v>
      </c>
      <c r="P36" s="10" t="n">
        <f aca="false">P35*Assumptions!$E$26</f>
        <v>542.208189998517</v>
      </c>
      <c r="Q36" s="10" t="n">
        <f aca="false">Q35*Assumptions!$E$26</f>
        <v>613.868182113937</v>
      </c>
      <c r="R36" s="10" t="n">
        <f aca="false">R35*Assumptions!$E$26</f>
        <v>684.016567086327</v>
      </c>
      <c r="S36" s="10" t="n">
        <f aca="false">S35*Assumptions!$E$26</f>
        <v>752.563172447968</v>
      </c>
      <c r="T36" s="10" t="n">
        <f aca="false">T35*Assumptions!$E$26</f>
        <v>818.438097895577</v>
      </c>
      <c r="U36" s="10" t="n">
        <f aca="false">U35*Assumptions!$E$26</f>
        <v>876.887382751725</v>
      </c>
    </row>
    <row r="37" customFormat="false" ht="15" hidden="false" customHeight="false" outlineLevel="0" collapsed="false">
      <c r="A37" s="2" t="s">
        <v>255</v>
      </c>
      <c r="B37" s="2" t="s">
        <v>58</v>
      </c>
      <c r="D37" s="19" t="n">
        <f aca="false">IF(D11&gt;0,SUM(D71:D88)/D11,0)</f>
        <v>0</v>
      </c>
      <c r="E37" s="19" t="n">
        <f aca="false">IF(E11&gt;0,SUM(E71:E88)/E11,0)</f>
        <v>0</v>
      </c>
      <c r="F37" s="19" t="n">
        <f aca="false">IF(F11&gt;0,SUM(F71:F88)/F11,0)</f>
        <v>0</v>
      </c>
      <c r="G37" s="19" t="n">
        <f aca="false">IF(G11&gt;0,SUM(G71:G88)/G11,0)</f>
        <v>0.0004</v>
      </c>
      <c r="H37" s="19" t="n">
        <f aca="false">IF(H11&gt;0,SUM(H71:H88)/H11,0)</f>
        <v>0.000670697579822357</v>
      </c>
      <c r="I37" s="19" t="n">
        <f aca="false">IF(I11&gt;0,SUM(I71:I88)/I11,0)</f>
        <v>0.000880104972660114</v>
      </c>
      <c r="J37" s="19" t="n">
        <f aca="false">IF(J11&gt;0,SUM(J71:J88)/J11,0)</f>
        <v>0.00122661524032449</v>
      </c>
      <c r="K37" s="19" t="n">
        <f aca="false">IF(K11&gt;0,SUM(K71:K88)/K11,0)</f>
        <v>0.00136062483706433</v>
      </c>
      <c r="L37" s="19" t="n">
        <f aca="false">IF(L11&gt;0,SUM(L71:L88)/L11,0)</f>
        <v>0.0014543368067452</v>
      </c>
      <c r="M37" s="19" t="n">
        <f aca="false">IF(M11&gt;0,SUM(M71:M88)/M11,0)</f>
        <v>0.0015258536120931</v>
      </c>
      <c r="N37" s="19" t="n">
        <f aca="false">IF(N11&gt;0,SUM(N71:N88)/N11,0)</f>
        <v>0.00164918495659861</v>
      </c>
      <c r="O37" s="19" t="n">
        <f aca="false">IF(O11&gt;0,SUM(O71:O88)/O11,0)</f>
        <v>0.00172060953556361</v>
      </c>
      <c r="P37" s="19" t="n">
        <f aca="false">IF(P11&gt;0,SUM(P71:P88)/P11,0)</f>
        <v>0.00177682896667678</v>
      </c>
      <c r="Q37" s="19" t="n">
        <f aca="false">IF(Q11&gt;0,SUM(Q71:Q88)/Q11,0)</f>
        <v>0.0018369897380706</v>
      </c>
      <c r="R37" s="19" t="n">
        <f aca="false">IF(R11&gt;0,SUM(R71:R88)/R11,0)</f>
        <v>0.00188230867882982</v>
      </c>
      <c r="S37" s="19" t="n">
        <f aca="false">IF(S11&gt;0,SUM(S71:S88)/S11,0)</f>
        <v>0.00191685286300926</v>
      </c>
      <c r="T37" s="19" t="n">
        <f aca="false">IF(T11&gt;0,SUM(T71:T88)/T11,0)</f>
        <v>0.00196127320294311</v>
      </c>
      <c r="U37" s="19" t="n">
        <f aca="false">IF(U11&gt;0,SUM(U71:U88)/U11,0)</f>
        <v>0.00199236058005169</v>
      </c>
    </row>
    <row r="38" customFormat="false" ht="15" hidden="false" customHeight="false" outlineLevel="0" collapsed="false">
      <c r="A38" s="2" t="s">
        <v>256</v>
      </c>
      <c r="B38" s="2" t="s">
        <v>28</v>
      </c>
      <c r="C38" s="12" t="n">
        <f aca="false">SUM(D38:U38)</f>
        <v>1315.36955040819</v>
      </c>
      <c r="D38" s="12" t="n">
        <f aca="false">D25*(1-D22)*D37/12</f>
        <v>0</v>
      </c>
      <c r="E38" s="12" t="n">
        <f aca="false">E25*(1-E22)*E37/12</f>
        <v>0</v>
      </c>
      <c r="F38" s="12" t="n">
        <f aca="false">F25*(1-F22)*F37/12</f>
        <v>0</v>
      </c>
      <c r="G38" s="12" t="n">
        <f aca="false">G25*(1-G22)*G37/12</f>
        <v>2.43346650047023</v>
      </c>
      <c r="H38" s="12" t="n">
        <f aca="false">H25*(1-H22)*H37/12</f>
        <v>6.63377877124753</v>
      </c>
      <c r="I38" s="12" t="n">
        <f aca="false">I25*(1-I22)*I37/12</f>
        <v>12.8598977352958</v>
      </c>
      <c r="J38" s="12" t="n">
        <f aca="false">J25*(1-J22)*J37/12</f>
        <v>24.5735122673383</v>
      </c>
      <c r="K38" s="12" t="n">
        <f aca="false">K25*(1-K22)*K37/12</f>
        <v>35.3229904895318</v>
      </c>
      <c r="L38" s="12" t="n">
        <f aca="false">L25*(1-L22)*L37/12</f>
        <v>46.9082935144388</v>
      </c>
      <c r="M38" s="12" t="n">
        <f aca="false">M25*(1-M22)*M37/12</f>
        <v>58.9745585945135</v>
      </c>
      <c r="N38" s="12" t="n">
        <f aca="false">N25*(1-N22)*N37/12</f>
        <v>77.0662610166311</v>
      </c>
      <c r="O38" s="12" t="n">
        <f aca="false">O25*(1-O22)*O37/12</f>
        <v>94.6411744857518</v>
      </c>
      <c r="P38" s="12" t="n">
        <f aca="false">P25*(1-P22)*P37/12</f>
        <v>112.679674615059</v>
      </c>
      <c r="Q38" s="12" t="n">
        <f aca="false">Q25*(1-Q22)*Q37/12</f>
        <v>131.891175563902</v>
      </c>
      <c r="R38" s="12" t="n">
        <f aca="false">R25*(1-R22)*R37/12</f>
        <v>150.588341601167</v>
      </c>
      <c r="S38" s="12" t="n">
        <f aca="false">S25*(1-S22)*S37/12</f>
        <v>168.719634117219</v>
      </c>
      <c r="T38" s="12" t="n">
        <f aca="false">T25*(1-T22)*T37/12</f>
        <v>187.74043387957</v>
      </c>
      <c r="U38" s="12" t="n">
        <f aca="false">U25*(1-U22)*U37/12</f>
        <v>204.336357256051</v>
      </c>
    </row>
    <row r="39" customFormat="false" ht="15" hidden="false" customHeight="false" outlineLevel="0" collapsed="false">
      <c r="A39" s="2" t="s">
        <v>35</v>
      </c>
      <c r="B39" s="2" t="s">
        <v>28</v>
      </c>
      <c r="C39" s="12" t="n">
        <f aca="false">SUM(D39:U39)</f>
        <v>33600</v>
      </c>
      <c r="D39" s="12" t="n">
        <f aca="false">D10*Assumptions!$E$16/Assumptions!$E$7</f>
        <v>700</v>
      </c>
      <c r="E39" s="12" t="n">
        <f aca="false">E10*Assumptions!$E$16/Assumptions!$E$7</f>
        <v>1050</v>
      </c>
      <c r="F39" s="12" t="n">
        <f aca="false">F10*Assumptions!$E$16/Assumptions!$E$7</f>
        <v>1400</v>
      </c>
      <c r="G39" s="12" t="n">
        <f aca="false">G10*Assumptions!$E$16/Assumptions!$E$7</f>
        <v>1750</v>
      </c>
      <c r="H39" s="12" t="n">
        <f aca="false">H10*Assumptions!$E$16/Assumptions!$E$7</f>
        <v>2100</v>
      </c>
      <c r="I39" s="12" t="n">
        <f aca="false">I10*Assumptions!$E$16/Assumptions!$E$7</f>
        <v>2450</v>
      </c>
      <c r="J39" s="12" t="n">
        <f aca="false">J10*Assumptions!$E$16/Assumptions!$E$7</f>
        <v>2450</v>
      </c>
      <c r="K39" s="12" t="n">
        <f aca="false">K10*Assumptions!$E$16/Assumptions!$E$7</f>
        <v>2450</v>
      </c>
      <c r="L39" s="12" t="n">
        <f aca="false">L10*Assumptions!$E$16/Assumptions!$E$7</f>
        <v>2450</v>
      </c>
      <c r="M39" s="12" t="n">
        <f aca="false">M10*Assumptions!$E$16/Assumptions!$E$7</f>
        <v>2450</v>
      </c>
      <c r="N39" s="12" t="n">
        <f aca="false">N10*Assumptions!$E$16/Assumptions!$E$7</f>
        <v>2100</v>
      </c>
      <c r="O39" s="12" t="n">
        <f aca="false">O10*Assumptions!$E$16/Assumptions!$E$7</f>
        <v>2100</v>
      </c>
      <c r="P39" s="12" t="n">
        <f aca="false">P10*Assumptions!$E$16/Assumptions!$E$7</f>
        <v>2100</v>
      </c>
      <c r="Q39" s="12" t="n">
        <f aca="false">Q10*Assumptions!$E$16/Assumptions!$E$7</f>
        <v>1750</v>
      </c>
      <c r="R39" s="12" t="n">
        <f aca="false">R10*Assumptions!$E$16/Assumptions!$E$7</f>
        <v>1750</v>
      </c>
      <c r="S39" s="12" t="n">
        <f aca="false">S10*Assumptions!$E$16/Assumptions!$E$7</f>
        <v>1750</v>
      </c>
      <c r="T39" s="12" t="n">
        <f aca="false">T10*Assumptions!$E$16/Assumptions!$E$7</f>
        <v>1400</v>
      </c>
      <c r="U39" s="12" t="n">
        <f aca="false">U10*Assumptions!$E$16/Assumptions!$E$7</f>
        <v>1400</v>
      </c>
    </row>
    <row r="40" customFormat="false" ht="15" hidden="false" customHeight="false" outlineLevel="0" collapsed="false">
      <c r="A40" s="2" t="s">
        <v>257</v>
      </c>
      <c r="B40" s="2" t="s">
        <v>28</v>
      </c>
      <c r="C40" s="12" t="n">
        <f aca="false">SUM(D40:U40)</f>
        <v>1500</v>
      </c>
      <c r="D40" s="12" t="n">
        <f aca="false">IF(D4&lt;=Assumptions!$E$40,Assumptions!$E$39/Assumptions!$E$40/Assumptions!$E$7,0)</f>
        <v>500</v>
      </c>
      <c r="E40" s="12" t="n">
        <f aca="false">IF(E4&lt;=Assumptions!$E$40,Assumptions!$E$39/Assumptions!$E$40/Assumptions!$E$7,0)</f>
        <v>500</v>
      </c>
      <c r="F40" s="12" t="n">
        <f aca="false">IF(F4&lt;=Assumptions!$E$40,Assumptions!$E$39/Assumptions!$E$40/Assumptions!$E$7,0)</f>
        <v>500</v>
      </c>
      <c r="G40" s="12" t="n">
        <f aca="false">IF(G4&lt;=Assumptions!$E$40,Assumptions!$E$39/Assumptions!$E$40/Assumptions!$E$7,0)</f>
        <v>0</v>
      </c>
      <c r="H40" s="12" t="n">
        <f aca="false">IF(H4&lt;=Assumptions!$E$40,Assumptions!$E$39/Assumptions!$E$40/Assumptions!$E$7,0)</f>
        <v>0</v>
      </c>
      <c r="I40" s="12" t="n">
        <f aca="false">IF(I4&lt;=Assumptions!$E$40,Assumptions!$E$39/Assumptions!$E$40/Assumptions!$E$7,0)</f>
        <v>0</v>
      </c>
      <c r="J40" s="12" t="n">
        <f aca="false">IF(J4&lt;=Assumptions!$E$40,Assumptions!$E$39/Assumptions!$E$40/Assumptions!$E$7,0)</f>
        <v>0</v>
      </c>
      <c r="K40" s="12" t="n">
        <f aca="false">IF(K4&lt;=Assumptions!$E$40,Assumptions!$E$39/Assumptions!$E$40/Assumptions!$E$7,0)</f>
        <v>0</v>
      </c>
      <c r="L40" s="12" t="n">
        <f aca="false">IF(L4&lt;=Assumptions!$E$40,Assumptions!$E$39/Assumptions!$E$40/Assumptions!$E$7,0)</f>
        <v>0</v>
      </c>
      <c r="M40" s="12" t="n">
        <f aca="false">IF(M4&lt;=Assumptions!$E$40,Assumptions!$E$39/Assumptions!$E$40/Assumptions!$E$7,0)</f>
        <v>0</v>
      </c>
      <c r="N40" s="12" t="n">
        <f aca="false">IF(N4&lt;=Assumptions!$E$40,Assumptions!$E$39/Assumptions!$E$40/Assumptions!$E$7,0)</f>
        <v>0</v>
      </c>
      <c r="O40" s="12" t="n">
        <f aca="false">IF(O4&lt;=Assumptions!$E$40,Assumptions!$E$39/Assumptions!$E$40/Assumptions!$E$7,0)</f>
        <v>0</v>
      </c>
      <c r="P40" s="12" t="n">
        <f aca="false">IF(P4&lt;=Assumptions!$E$40,Assumptions!$E$39/Assumptions!$E$40/Assumptions!$E$7,0)</f>
        <v>0</v>
      </c>
      <c r="Q40" s="12" t="n">
        <f aca="false">IF(Q4&lt;=Assumptions!$E$40,Assumptions!$E$39/Assumptions!$E$40/Assumptions!$E$7,0)</f>
        <v>0</v>
      </c>
      <c r="R40" s="12" t="n">
        <f aca="false">IF(R4&lt;=Assumptions!$E$40,Assumptions!$E$39/Assumptions!$E$40/Assumptions!$E$7,0)</f>
        <v>0</v>
      </c>
      <c r="S40" s="12" t="n">
        <f aca="false">IF(S4&lt;=Assumptions!$E$40,Assumptions!$E$39/Assumptions!$E$40/Assumptions!$E$7,0)</f>
        <v>0</v>
      </c>
      <c r="T40" s="12" t="n">
        <f aca="false">IF(T4&lt;=Assumptions!$E$40,Assumptions!$E$39/Assumptions!$E$40/Assumptions!$E$7,0)</f>
        <v>0</v>
      </c>
      <c r="U40" s="12" t="n">
        <f aca="false">IF(U4&lt;=Assumptions!$E$40,Assumptions!$E$39/Assumptions!$E$40/Assumptions!$E$7,0)</f>
        <v>0</v>
      </c>
    </row>
    <row r="41" customFormat="false" ht="15" hidden="false" customHeight="false" outlineLevel="0" collapsed="false">
      <c r="A41" s="2" t="s">
        <v>258</v>
      </c>
      <c r="B41" s="2" t="s">
        <v>28</v>
      </c>
      <c r="C41" s="12" t="n">
        <f aca="false">SUM(D41:U41)</f>
        <v>2160</v>
      </c>
      <c r="D41" s="12" t="n">
        <f aca="false">Assumptions!$E$41/Assumptions!$E$7</f>
        <v>120</v>
      </c>
      <c r="E41" s="12" t="n">
        <f aca="false">Assumptions!$E$41/Assumptions!$E$7</f>
        <v>120</v>
      </c>
      <c r="F41" s="12" t="n">
        <f aca="false">Assumptions!$E$41/Assumptions!$E$7</f>
        <v>120</v>
      </c>
      <c r="G41" s="12" t="n">
        <f aca="false">Assumptions!$E$41/Assumptions!$E$7</f>
        <v>120</v>
      </c>
      <c r="H41" s="12" t="n">
        <f aca="false">Assumptions!$E$41/Assumptions!$E$7</f>
        <v>120</v>
      </c>
      <c r="I41" s="12" t="n">
        <f aca="false">Assumptions!$E$41/Assumptions!$E$7</f>
        <v>120</v>
      </c>
      <c r="J41" s="12" t="n">
        <f aca="false">Assumptions!$E$41/Assumptions!$E$7</f>
        <v>120</v>
      </c>
      <c r="K41" s="12" t="n">
        <f aca="false">Assumptions!$E$41/Assumptions!$E$7</f>
        <v>120</v>
      </c>
      <c r="L41" s="12" t="n">
        <f aca="false">Assumptions!$E$41/Assumptions!$E$7</f>
        <v>120</v>
      </c>
      <c r="M41" s="12" t="n">
        <f aca="false">Assumptions!$E$41/Assumptions!$E$7</f>
        <v>120</v>
      </c>
      <c r="N41" s="12" t="n">
        <f aca="false">Assumptions!$E$41/Assumptions!$E$7</f>
        <v>120</v>
      </c>
      <c r="O41" s="12" t="n">
        <f aca="false">Assumptions!$E$41/Assumptions!$E$7</f>
        <v>120</v>
      </c>
      <c r="P41" s="12" t="n">
        <f aca="false">Assumptions!$E$41/Assumptions!$E$7</f>
        <v>120</v>
      </c>
      <c r="Q41" s="12" t="n">
        <f aca="false">Assumptions!$E$41/Assumptions!$E$7</f>
        <v>120</v>
      </c>
      <c r="R41" s="12" t="n">
        <f aca="false">Assumptions!$E$41/Assumptions!$E$7</f>
        <v>120</v>
      </c>
      <c r="S41" s="12" t="n">
        <f aca="false">Assumptions!$E$41/Assumptions!$E$7</f>
        <v>120</v>
      </c>
      <c r="T41" s="12" t="n">
        <f aca="false">Assumptions!$E$41/Assumptions!$E$7</f>
        <v>120</v>
      </c>
      <c r="U41" s="12" t="n">
        <f aca="false">Assumptions!$E$41/Assumptions!$E$7</f>
        <v>120</v>
      </c>
    </row>
    <row r="42" customFormat="false" ht="15" hidden="false" customHeight="false" outlineLevel="0" collapsed="false">
      <c r="A42" s="9" t="s">
        <v>259</v>
      </c>
      <c r="B42" s="2" t="s">
        <v>28</v>
      </c>
      <c r="C42" s="10" t="n">
        <f aca="false">SUM(D42:U42)</f>
        <v>-32245.2753900696</v>
      </c>
      <c r="D42" s="10" t="n">
        <f aca="false">D36-D38-D39-D40-D41</f>
        <v>-1318.1625</v>
      </c>
      <c r="E42" s="10" t="n">
        <f aca="false">E36-E38-E39-E40-E41</f>
        <v>-1661.984825</v>
      </c>
      <c r="F42" s="10" t="n">
        <f aca="false">F36-F38-F39-F40-F41</f>
        <v>-2000.1872063035</v>
      </c>
      <c r="G42" s="10" t="n">
        <f aca="false">G36-G38-G39-G40-G41</f>
        <v>-1834.10636911806</v>
      </c>
      <c r="H42" s="10" t="n">
        <f aca="false">H36-H38-H39-H40-H41</f>
        <v>-2161.25175487982</v>
      </c>
      <c r="I42" s="10" t="n">
        <f aca="false">I36-I38-I39-I40-I41</f>
        <v>-2481.41241633083</v>
      </c>
      <c r="J42" s="10" t="n">
        <f aca="false">J36-J38-J39-J40-J41</f>
        <v>-2448.32827280324</v>
      </c>
      <c r="K42" s="10" t="n">
        <f aca="false">K36-K38-K39-K40-K41</f>
        <v>-2405.82376869659</v>
      </c>
      <c r="L42" s="10" t="n">
        <f aca="false">L36-L38-L39-L40-L41</f>
        <v>-2355.65025775222</v>
      </c>
      <c r="M42" s="10" t="n">
        <f aca="false">M36-M38-M39-M40-M41</f>
        <v>-2298.515285184</v>
      </c>
      <c r="N42" s="10" t="n">
        <f aca="false">N36-N38-N39-N40-N41</f>
        <v>-1897.52554906932</v>
      </c>
      <c r="O42" s="10" t="n">
        <f aca="false">O36-O38-O39-O40-O41</f>
        <v>-1844.35316019312</v>
      </c>
      <c r="P42" s="10" t="n">
        <f aca="false">P36-P38-P39-P40-P41</f>
        <v>-1790.47148461654</v>
      </c>
      <c r="Q42" s="10" t="n">
        <f aca="false">Q36-Q38-Q39-Q40-Q41</f>
        <v>-1388.02299344996</v>
      </c>
      <c r="R42" s="10" t="n">
        <f aca="false">R36-R38-R39-R40-R41</f>
        <v>-1336.57177451484</v>
      </c>
      <c r="S42" s="10" t="n">
        <f aca="false">S36-S38-S39-S40-S41</f>
        <v>-1286.15646166925</v>
      </c>
      <c r="T42" s="10" t="n">
        <f aca="false">T36-T38-T39-T40-T41</f>
        <v>-889.302335983993</v>
      </c>
      <c r="U42" s="10" t="n">
        <f aca="false">U36-U38-U39-U40-U41</f>
        <v>-847.448974504326</v>
      </c>
    </row>
    <row r="43" customFormat="false" ht="15" hidden="false" customHeight="false" outlineLevel="0" collapsed="false">
      <c r="A43" s="9" t="s">
        <v>260</v>
      </c>
      <c r="B43" s="2" t="s">
        <v>28</v>
      </c>
      <c r="D43" s="10" t="n">
        <f aca="false">D42</f>
        <v>-1318.1625</v>
      </c>
      <c r="E43" s="10" t="n">
        <f aca="false">D43+E42</f>
        <v>-2980.147325</v>
      </c>
      <c r="F43" s="10" t="n">
        <f aca="false">E43+F42</f>
        <v>-4980.3345313035</v>
      </c>
      <c r="G43" s="10" t="n">
        <f aca="false">F43+G42</f>
        <v>-6814.44090042156</v>
      </c>
      <c r="H43" s="10" t="n">
        <f aca="false">G43+H42</f>
        <v>-8975.69265530139</v>
      </c>
      <c r="I43" s="10" t="n">
        <f aca="false">H43+I42</f>
        <v>-11457.1050716322</v>
      </c>
      <c r="J43" s="10" t="n">
        <f aca="false">I43+J42</f>
        <v>-13905.4333444355</v>
      </c>
      <c r="K43" s="10" t="n">
        <f aca="false">J43+K42</f>
        <v>-16311.257113132</v>
      </c>
      <c r="L43" s="10" t="n">
        <f aca="false">K43+L42</f>
        <v>-18666.9073708843</v>
      </c>
      <c r="M43" s="10" t="n">
        <f aca="false">L43+M42</f>
        <v>-20965.4226560683</v>
      </c>
      <c r="N43" s="10" t="n">
        <f aca="false">M43+N42</f>
        <v>-22862.9482051376</v>
      </c>
      <c r="O43" s="10" t="n">
        <f aca="false">N43+O42</f>
        <v>-24707.3013653307</v>
      </c>
      <c r="P43" s="10" t="n">
        <f aca="false">O43+P42</f>
        <v>-26497.7728499472</v>
      </c>
      <c r="Q43" s="10" t="n">
        <f aca="false">P43+Q42</f>
        <v>-27885.7958433972</v>
      </c>
      <c r="R43" s="10" t="n">
        <f aca="false">Q43+R42</f>
        <v>-29222.3676179121</v>
      </c>
      <c r="S43" s="10" t="n">
        <f aca="false">R43+S42</f>
        <v>-30508.5240795813</v>
      </c>
      <c r="T43" s="10" t="n">
        <f aca="false">S43+T42</f>
        <v>-31397.8264155653</v>
      </c>
      <c r="U43" s="10" t="n">
        <f aca="false">T43+U42</f>
        <v>-32245.2753900696</v>
      </c>
    </row>
    <row r="44" customFormat="false" ht="15" hidden="false" customHeight="false" outlineLevel="0" collapsed="false">
      <c r="A44" s="2" t="s">
        <v>261</v>
      </c>
      <c r="B44" s="2" t="s">
        <v>237</v>
      </c>
      <c r="D44" s="15" t="n">
        <f aca="false">IF(D43&gt;=0,1,0)</f>
        <v>0</v>
      </c>
      <c r="E44" s="15" t="n">
        <f aca="false">IF(E43&gt;=0,1,0)</f>
        <v>0</v>
      </c>
      <c r="F44" s="15" t="n">
        <f aca="false">IF(F43&gt;=0,1,0)</f>
        <v>0</v>
      </c>
      <c r="G44" s="15" t="n">
        <f aca="false">IF(G43&gt;=0,1,0)</f>
        <v>0</v>
      </c>
      <c r="H44" s="15" t="n">
        <f aca="false">IF(H43&gt;=0,1,0)</f>
        <v>0</v>
      </c>
      <c r="I44" s="15" t="n">
        <f aca="false">IF(I43&gt;=0,1,0)</f>
        <v>0</v>
      </c>
      <c r="J44" s="15" t="n">
        <f aca="false">IF(J43&gt;=0,1,0)</f>
        <v>0</v>
      </c>
      <c r="K44" s="15" t="n">
        <f aca="false">IF(K43&gt;=0,1,0)</f>
        <v>0</v>
      </c>
      <c r="L44" s="15" t="n">
        <f aca="false">IF(L43&gt;=0,1,0)</f>
        <v>0</v>
      </c>
      <c r="M44" s="15" t="n">
        <f aca="false">IF(M43&gt;=0,1,0)</f>
        <v>0</v>
      </c>
      <c r="N44" s="15" t="n">
        <f aca="false">IF(N43&gt;=0,1,0)</f>
        <v>0</v>
      </c>
      <c r="O44" s="15" t="n">
        <f aca="false">IF(O43&gt;=0,1,0)</f>
        <v>0</v>
      </c>
      <c r="P44" s="15" t="n">
        <f aca="false">IF(P43&gt;=0,1,0)</f>
        <v>0</v>
      </c>
      <c r="Q44" s="15" t="n">
        <f aca="false">IF(Q43&gt;=0,1,0)</f>
        <v>0</v>
      </c>
      <c r="R44" s="15" t="n">
        <f aca="false">IF(R43&gt;=0,1,0)</f>
        <v>0</v>
      </c>
      <c r="S44" s="15" t="n">
        <f aca="false">IF(S43&gt;=0,1,0)</f>
        <v>0</v>
      </c>
      <c r="T44" s="15" t="n">
        <f aca="false">IF(T43&gt;=0,1,0)</f>
        <v>0</v>
      </c>
      <c r="U44" s="15" t="n">
        <f aca="false">IF(U43&gt;=0,1,0)</f>
        <v>0</v>
      </c>
    </row>
    <row r="45" customFormat="false" ht="15" hidden="false" customHeight="false" outlineLevel="0" collapsed="false">
      <c r="A45" s="2" t="s">
        <v>262</v>
      </c>
      <c r="B45" s="2" t="s">
        <v>237</v>
      </c>
      <c r="D45" s="15" t="n">
        <f aca="false">IF(D42&gt;=0,1,0)</f>
        <v>0</v>
      </c>
      <c r="E45" s="15" t="n">
        <f aca="false">IF(E42&gt;=0,1,0)</f>
        <v>0</v>
      </c>
      <c r="F45" s="15" t="n">
        <f aca="false">IF(F42&gt;=0,1,0)</f>
        <v>0</v>
      </c>
      <c r="G45" s="15" t="n">
        <f aca="false">IF(G42&gt;=0,1,0)</f>
        <v>0</v>
      </c>
      <c r="H45" s="15" t="n">
        <f aca="false">IF(H42&gt;=0,1,0)</f>
        <v>0</v>
      </c>
      <c r="I45" s="15" t="n">
        <f aca="false">IF(I42&gt;=0,1,0)</f>
        <v>0</v>
      </c>
      <c r="J45" s="15" t="n">
        <f aca="false">IF(J42&gt;=0,1,0)</f>
        <v>0</v>
      </c>
      <c r="K45" s="15" t="n">
        <f aca="false">IF(K42&gt;=0,1,0)</f>
        <v>0</v>
      </c>
      <c r="L45" s="15" t="n">
        <f aca="false">IF(L42&gt;=0,1,0)</f>
        <v>0</v>
      </c>
      <c r="M45" s="15" t="n">
        <f aca="false">IF(M42&gt;=0,1,0)</f>
        <v>0</v>
      </c>
      <c r="N45" s="15" t="n">
        <f aca="false">IF(N42&gt;=0,1,0)</f>
        <v>0</v>
      </c>
      <c r="O45" s="15" t="n">
        <f aca="false">IF(O42&gt;=0,1,0)</f>
        <v>0</v>
      </c>
      <c r="P45" s="15" t="n">
        <f aca="false">IF(P42&gt;=0,1,0)</f>
        <v>0</v>
      </c>
      <c r="Q45" s="15" t="n">
        <f aca="false">IF(Q42&gt;=0,1,0)</f>
        <v>0</v>
      </c>
      <c r="R45" s="15" t="n">
        <f aca="false">IF(R42&gt;=0,1,0)</f>
        <v>0</v>
      </c>
      <c r="S45" s="15" t="n">
        <f aca="false">IF(S42&gt;=0,1,0)</f>
        <v>0</v>
      </c>
      <c r="T45" s="15" t="n">
        <f aca="false">IF(T42&gt;=0,1,0)</f>
        <v>0</v>
      </c>
      <c r="U45" s="15" t="n">
        <f aca="false">IF(U42&gt;=0,1,0)</f>
        <v>0</v>
      </c>
    </row>
    <row r="47" customFormat="false" ht="15" hidden="false" customHeight="false" outlineLevel="0" collapsed="false">
      <c r="A47" s="6" t="s">
        <v>263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customFormat="false" ht="15" hidden="false" customHeight="false" outlineLevel="0" collapsed="false">
      <c r="A48" s="5" t="s">
        <v>264</v>
      </c>
      <c r="B48" s="5" t="s">
        <v>265</v>
      </c>
      <c r="C48" s="5"/>
      <c r="D48" s="5" t="s">
        <v>195</v>
      </c>
      <c r="E48" s="5" t="s">
        <v>196</v>
      </c>
      <c r="F48" s="5" t="s">
        <v>197</v>
      </c>
      <c r="G48" s="5" t="s">
        <v>198</v>
      </c>
      <c r="H48" s="5" t="s">
        <v>199</v>
      </c>
      <c r="I48" s="5" t="s">
        <v>200</v>
      </c>
      <c r="J48" s="5" t="s">
        <v>201</v>
      </c>
      <c r="K48" s="5" t="s">
        <v>202</v>
      </c>
      <c r="L48" s="5" t="s">
        <v>203</v>
      </c>
      <c r="M48" s="5" t="s">
        <v>204</v>
      </c>
      <c r="N48" s="5" t="s">
        <v>205</v>
      </c>
      <c r="O48" s="5" t="s">
        <v>206</v>
      </c>
      <c r="P48" s="5" t="s">
        <v>207</v>
      </c>
      <c r="Q48" s="5" t="s">
        <v>208</v>
      </c>
      <c r="R48" s="5" t="s">
        <v>209</v>
      </c>
      <c r="S48" s="5" t="s">
        <v>210</v>
      </c>
      <c r="T48" s="5" t="s">
        <v>211</v>
      </c>
      <c r="U48" s="5" t="s">
        <v>212</v>
      </c>
    </row>
    <row r="49" customFormat="false" ht="15" hidden="false" customHeight="false" outlineLevel="0" collapsed="false">
      <c r="A49" s="2" t="s">
        <v>266</v>
      </c>
      <c r="B49" s="15" t="n">
        <v>1</v>
      </c>
      <c r="D49" s="27" t="n">
        <f aca="false">IF(D$4&lt;$B49,0,INDEX($D$10:$U$10,$B49)*(1-Assumptions!$E$18)^(D$4-$B49))</f>
        <v>8750</v>
      </c>
      <c r="E49" s="27" t="n">
        <f aca="false">IF(E$4&lt;$B49,0,INDEX($D$10:$U$10,$B49)*(1-Assumptions!$E$18)^(E$4-$B49))</f>
        <v>8312.5</v>
      </c>
      <c r="F49" s="27" t="n">
        <f aca="false">IF(F$4&lt;$B49,0,INDEX($D$10:$U$10,$B49)*(1-Assumptions!$E$18)^(F$4-$B49))</f>
        <v>7896.875</v>
      </c>
      <c r="G49" s="27" t="n">
        <f aca="false">IF(G$4&lt;$B49,0,INDEX($D$10:$U$10,$B49)*(1-Assumptions!$E$18)^(G$4-$B49))</f>
        <v>7502.03125</v>
      </c>
      <c r="H49" s="27" t="n">
        <f aca="false">IF(H$4&lt;$B49,0,INDEX($D$10:$U$10,$B49)*(1-Assumptions!$E$18)^(H$4-$B49))</f>
        <v>7126.9296875</v>
      </c>
      <c r="I49" s="27" t="n">
        <f aca="false">IF(I$4&lt;$B49,0,INDEX($D$10:$U$10,$B49)*(1-Assumptions!$E$18)^(I$4-$B49))</f>
        <v>6770.583203125</v>
      </c>
      <c r="J49" s="27" t="n">
        <f aca="false">IF(J$4&lt;$B49,0,INDEX($D$10:$U$10,$B49)*(1-Assumptions!$E$18)^(J$4-$B49))</f>
        <v>6432.05404296875</v>
      </c>
      <c r="K49" s="27" t="n">
        <f aca="false">IF(K$4&lt;$B49,0,INDEX($D$10:$U$10,$B49)*(1-Assumptions!$E$18)^(K$4-$B49))</f>
        <v>6110.45134082031</v>
      </c>
      <c r="L49" s="27" t="n">
        <f aca="false">IF(L$4&lt;$B49,0,INDEX($D$10:$U$10,$B49)*(1-Assumptions!$E$18)^(L$4-$B49))</f>
        <v>5804.9287737793</v>
      </c>
      <c r="M49" s="27" t="n">
        <f aca="false">IF(M$4&lt;$B49,0,INDEX($D$10:$U$10,$B49)*(1-Assumptions!$E$18)^(M$4-$B49))</f>
        <v>5514.68233509033</v>
      </c>
      <c r="N49" s="27" t="n">
        <f aca="false">IF(N$4&lt;$B49,0,INDEX($D$10:$U$10,$B49)*(1-Assumptions!$E$18)^(N$4-$B49))</f>
        <v>5238.94821833581</v>
      </c>
      <c r="O49" s="27" t="n">
        <f aca="false">IF(O$4&lt;$B49,0,INDEX($D$10:$U$10,$B49)*(1-Assumptions!$E$18)^(O$4-$B49))</f>
        <v>4977.00080741902</v>
      </c>
      <c r="P49" s="27" t="n">
        <f aca="false">IF(P$4&lt;$B49,0,INDEX($D$10:$U$10,$B49)*(1-Assumptions!$E$18)^(P$4-$B49))</f>
        <v>4728.15076704807</v>
      </c>
      <c r="Q49" s="27" t="n">
        <f aca="false">IF(Q$4&lt;$B49,0,INDEX($D$10:$U$10,$B49)*(1-Assumptions!$E$18)^(Q$4-$B49))</f>
        <v>4491.74322869567</v>
      </c>
      <c r="R49" s="27" t="n">
        <f aca="false">IF(R$4&lt;$B49,0,INDEX($D$10:$U$10,$B49)*(1-Assumptions!$E$18)^(R$4-$B49))</f>
        <v>4267.15606726088</v>
      </c>
      <c r="S49" s="27" t="n">
        <f aca="false">IF(S$4&lt;$B49,0,INDEX($D$10:$U$10,$B49)*(1-Assumptions!$E$18)^(S$4-$B49))</f>
        <v>4053.79826389784</v>
      </c>
      <c r="T49" s="27" t="n">
        <f aca="false">IF(T$4&lt;$B49,0,INDEX($D$10:$U$10,$B49)*(1-Assumptions!$E$18)^(T$4-$B49))</f>
        <v>3851.10835070295</v>
      </c>
      <c r="U49" s="27" t="n">
        <f aca="false">IF(U$4&lt;$B49,0,INDEX($D$10:$U$10,$B49)*(1-Assumptions!$E$18)^(U$4-$B49))</f>
        <v>3658.5529331678</v>
      </c>
    </row>
    <row r="50" customFormat="false" ht="15" hidden="false" customHeight="false" outlineLevel="0" collapsed="false">
      <c r="A50" s="2" t="s">
        <v>267</v>
      </c>
      <c r="B50" s="15" t="n">
        <v>2</v>
      </c>
      <c r="D50" s="27" t="n">
        <f aca="false">IF(D$4&lt;$B50,0,INDEX($D$10:$U$10,$B50)*(1-Assumptions!$E$18)^(D$4-$B50))</f>
        <v>0</v>
      </c>
      <c r="E50" s="27" t="n">
        <f aca="false">IF(E$4&lt;$B50,0,INDEX($D$10:$U$10,$B50)*(1-Assumptions!$E$18)^(E$4-$B50))</f>
        <v>13125</v>
      </c>
      <c r="F50" s="27" t="n">
        <f aca="false">IF(F$4&lt;$B50,0,INDEX($D$10:$U$10,$B50)*(1-Assumptions!$E$18)^(F$4-$B50))</f>
        <v>12468.75</v>
      </c>
      <c r="G50" s="27" t="n">
        <f aca="false">IF(G$4&lt;$B50,0,INDEX($D$10:$U$10,$B50)*(1-Assumptions!$E$18)^(G$4-$B50))</f>
        <v>11845.3125</v>
      </c>
      <c r="H50" s="27" t="n">
        <f aca="false">IF(H$4&lt;$B50,0,INDEX($D$10:$U$10,$B50)*(1-Assumptions!$E$18)^(H$4-$B50))</f>
        <v>11253.046875</v>
      </c>
      <c r="I50" s="27" t="n">
        <f aca="false">IF(I$4&lt;$B50,0,INDEX($D$10:$U$10,$B50)*(1-Assumptions!$E$18)^(I$4-$B50))</f>
        <v>10690.39453125</v>
      </c>
      <c r="J50" s="27" t="n">
        <f aca="false">IF(J$4&lt;$B50,0,INDEX($D$10:$U$10,$B50)*(1-Assumptions!$E$18)^(J$4-$B50))</f>
        <v>10155.8748046875</v>
      </c>
      <c r="K50" s="27" t="n">
        <f aca="false">IF(K$4&lt;$B50,0,INDEX($D$10:$U$10,$B50)*(1-Assumptions!$E$18)^(K$4-$B50))</f>
        <v>9648.08106445312</v>
      </c>
      <c r="L50" s="27" t="n">
        <f aca="false">IF(L$4&lt;$B50,0,INDEX($D$10:$U$10,$B50)*(1-Assumptions!$E$18)^(L$4-$B50))</f>
        <v>9165.67701123047</v>
      </c>
      <c r="M50" s="27" t="n">
        <f aca="false">IF(M$4&lt;$B50,0,INDEX($D$10:$U$10,$B50)*(1-Assumptions!$E$18)^(M$4-$B50))</f>
        <v>8707.39316066894</v>
      </c>
      <c r="N50" s="27" t="n">
        <f aca="false">IF(N$4&lt;$B50,0,INDEX($D$10:$U$10,$B50)*(1-Assumptions!$E$18)^(N$4-$B50))</f>
        <v>8272.0235026355</v>
      </c>
      <c r="O50" s="27" t="n">
        <f aca="false">IF(O$4&lt;$B50,0,INDEX($D$10:$U$10,$B50)*(1-Assumptions!$E$18)^(O$4-$B50))</f>
        <v>7858.42232750372</v>
      </c>
      <c r="P50" s="27" t="n">
        <f aca="false">IF(P$4&lt;$B50,0,INDEX($D$10:$U$10,$B50)*(1-Assumptions!$E$18)^(P$4-$B50))</f>
        <v>7465.50121112853</v>
      </c>
      <c r="Q50" s="27" t="n">
        <f aca="false">IF(Q$4&lt;$B50,0,INDEX($D$10:$U$10,$B50)*(1-Assumptions!$E$18)^(Q$4-$B50))</f>
        <v>7092.22615057211</v>
      </c>
      <c r="R50" s="27" t="n">
        <f aca="false">IF(R$4&lt;$B50,0,INDEX($D$10:$U$10,$B50)*(1-Assumptions!$E$18)^(R$4-$B50))</f>
        <v>6737.6148430435</v>
      </c>
      <c r="S50" s="27" t="n">
        <f aca="false">IF(S$4&lt;$B50,0,INDEX($D$10:$U$10,$B50)*(1-Assumptions!$E$18)^(S$4-$B50))</f>
        <v>6400.73410089133</v>
      </c>
      <c r="T50" s="27" t="n">
        <f aca="false">IF(T$4&lt;$B50,0,INDEX($D$10:$U$10,$B50)*(1-Assumptions!$E$18)^(T$4-$B50))</f>
        <v>6080.69739584676</v>
      </c>
      <c r="U50" s="27" t="n">
        <f aca="false">IF(U$4&lt;$B50,0,INDEX($D$10:$U$10,$B50)*(1-Assumptions!$E$18)^(U$4-$B50))</f>
        <v>5776.66252605442</v>
      </c>
    </row>
    <row r="51" customFormat="false" ht="15" hidden="false" customHeight="false" outlineLevel="0" collapsed="false">
      <c r="A51" s="2" t="s">
        <v>268</v>
      </c>
      <c r="B51" s="15" t="n">
        <v>3</v>
      </c>
      <c r="D51" s="27" t="n">
        <f aca="false">IF(D$4&lt;$B51,0,INDEX($D$10:$U$10,$B51)*(1-Assumptions!$E$18)^(D$4-$B51))</f>
        <v>0</v>
      </c>
      <c r="E51" s="27" t="n">
        <f aca="false">IF(E$4&lt;$B51,0,INDEX($D$10:$U$10,$B51)*(1-Assumptions!$E$18)^(E$4-$B51))</f>
        <v>0</v>
      </c>
      <c r="F51" s="27" t="n">
        <f aca="false">IF(F$4&lt;$B51,0,INDEX($D$10:$U$10,$B51)*(1-Assumptions!$E$18)^(F$4-$B51))</f>
        <v>17500</v>
      </c>
      <c r="G51" s="27" t="n">
        <f aca="false">IF(G$4&lt;$B51,0,INDEX($D$10:$U$10,$B51)*(1-Assumptions!$E$18)^(G$4-$B51))</f>
        <v>16625</v>
      </c>
      <c r="H51" s="27" t="n">
        <f aca="false">IF(H$4&lt;$B51,0,INDEX($D$10:$U$10,$B51)*(1-Assumptions!$E$18)^(H$4-$B51))</f>
        <v>15793.75</v>
      </c>
      <c r="I51" s="27" t="n">
        <f aca="false">IF(I$4&lt;$B51,0,INDEX($D$10:$U$10,$B51)*(1-Assumptions!$E$18)^(I$4-$B51))</f>
        <v>15004.0625</v>
      </c>
      <c r="J51" s="27" t="n">
        <f aca="false">IF(J$4&lt;$B51,0,INDEX($D$10:$U$10,$B51)*(1-Assumptions!$E$18)^(J$4-$B51))</f>
        <v>14253.859375</v>
      </c>
      <c r="K51" s="27" t="n">
        <f aca="false">IF(K$4&lt;$B51,0,INDEX($D$10:$U$10,$B51)*(1-Assumptions!$E$18)^(K$4-$B51))</f>
        <v>13541.16640625</v>
      </c>
      <c r="L51" s="27" t="n">
        <f aca="false">IF(L$4&lt;$B51,0,INDEX($D$10:$U$10,$B51)*(1-Assumptions!$E$18)^(L$4-$B51))</f>
        <v>12864.1080859375</v>
      </c>
      <c r="M51" s="27" t="n">
        <f aca="false">IF(M$4&lt;$B51,0,INDEX($D$10:$U$10,$B51)*(1-Assumptions!$E$18)^(M$4-$B51))</f>
        <v>12220.9026816406</v>
      </c>
      <c r="N51" s="27" t="n">
        <f aca="false">IF(N$4&lt;$B51,0,INDEX($D$10:$U$10,$B51)*(1-Assumptions!$E$18)^(N$4-$B51))</f>
        <v>11609.8575475586</v>
      </c>
      <c r="O51" s="27" t="n">
        <f aca="false">IF(O$4&lt;$B51,0,INDEX($D$10:$U$10,$B51)*(1-Assumptions!$E$18)^(O$4-$B51))</f>
        <v>11029.3646701807</v>
      </c>
      <c r="P51" s="27" t="n">
        <f aca="false">IF(P$4&lt;$B51,0,INDEX($D$10:$U$10,$B51)*(1-Assumptions!$E$18)^(P$4-$B51))</f>
        <v>10477.8964366716</v>
      </c>
      <c r="Q51" s="27" t="n">
        <f aca="false">IF(Q$4&lt;$B51,0,INDEX($D$10:$U$10,$B51)*(1-Assumptions!$E$18)^(Q$4-$B51))</f>
        <v>9954.00161483804</v>
      </c>
      <c r="R51" s="27" t="n">
        <f aca="false">IF(R$4&lt;$B51,0,INDEX($D$10:$U$10,$B51)*(1-Assumptions!$E$18)^(R$4-$B51))</f>
        <v>9456.30153409614</v>
      </c>
      <c r="S51" s="27" t="n">
        <f aca="false">IF(S$4&lt;$B51,0,INDEX($D$10:$U$10,$B51)*(1-Assumptions!$E$18)^(S$4-$B51))</f>
        <v>8983.48645739134</v>
      </c>
      <c r="T51" s="27" t="n">
        <f aca="false">IF(T$4&lt;$B51,0,INDEX($D$10:$U$10,$B51)*(1-Assumptions!$E$18)^(T$4-$B51))</f>
        <v>8534.31213452177</v>
      </c>
      <c r="U51" s="27" t="n">
        <f aca="false">IF(U$4&lt;$B51,0,INDEX($D$10:$U$10,$B51)*(1-Assumptions!$E$18)^(U$4-$B51))</f>
        <v>8107.59652779568</v>
      </c>
    </row>
    <row r="52" customFormat="false" ht="15" hidden="false" customHeight="false" outlineLevel="0" collapsed="false">
      <c r="A52" s="2" t="s">
        <v>269</v>
      </c>
      <c r="B52" s="15" t="n">
        <v>4</v>
      </c>
      <c r="D52" s="27" t="n">
        <f aca="false">IF(D$4&lt;$B52,0,INDEX($D$10:$U$10,$B52)*(1-Assumptions!$E$18)^(D$4-$B52))</f>
        <v>0</v>
      </c>
      <c r="E52" s="27" t="n">
        <f aca="false">IF(E$4&lt;$B52,0,INDEX($D$10:$U$10,$B52)*(1-Assumptions!$E$18)^(E$4-$B52))</f>
        <v>0</v>
      </c>
      <c r="F52" s="27" t="n">
        <f aca="false">IF(F$4&lt;$B52,0,INDEX($D$10:$U$10,$B52)*(1-Assumptions!$E$18)^(F$4-$B52))</f>
        <v>0</v>
      </c>
      <c r="G52" s="27" t="n">
        <f aca="false">IF(G$4&lt;$B52,0,INDEX($D$10:$U$10,$B52)*(1-Assumptions!$E$18)^(G$4-$B52))</f>
        <v>21875</v>
      </c>
      <c r="H52" s="27" t="n">
        <f aca="false">IF(H$4&lt;$B52,0,INDEX($D$10:$U$10,$B52)*(1-Assumptions!$E$18)^(H$4-$B52))</f>
        <v>20781.25</v>
      </c>
      <c r="I52" s="27" t="n">
        <f aca="false">IF(I$4&lt;$B52,0,INDEX($D$10:$U$10,$B52)*(1-Assumptions!$E$18)^(I$4-$B52))</f>
        <v>19742.1875</v>
      </c>
      <c r="J52" s="27" t="n">
        <f aca="false">IF(J$4&lt;$B52,0,INDEX($D$10:$U$10,$B52)*(1-Assumptions!$E$18)^(J$4-$B52))</f>
        <v>18755.078125</v>
      </c>
      <c r="K52" s="27" t="n">
        <f aca="false">IF(K$4&lt;$B52,0,INDEX($D$10:$U$10,$B52)*(1-Assumptions!$E$18)^(K$4-$B52))</f>
        <v>17817.32421875</v>
      </c>
      <c r="L52" s="27" t="n">
        <f aca="false">IF(L$4&lt;$B52,0,INDEX($D$10:$U$10,$B52)*(1-Assumptions!$E$18)^(L$4-$B52))</f>
        <v>16926.4580078125</v>
      </c>
      <c r="M52" s="27" t="n">
        <f aca="false">IF(M$4&lt;$B52,0,INDEX($D$10:$U$10,$B52)*(1-Assumptions!$E$18)^(M$4-$B52))</f>
        <v>16080.1351074219</v>
      </c>
      <c r="N52" s="27" t="n">
        <f aca="false">IF(N$4&lt;$B52,0,INDEX($D$10:$U$10,$B52)*(1-Assumptions!$E$18)^(N$4-$B52))</f>
        <v>15276.1283520508</v>
      </c>
      <c r="O52" s="27" t="n">
        <f aca="false">IF(O$4&lt;$B52,0,INDEX($D$10:$U$10,$B52)*(1-Assumptions!$E$18)^(O$4-$B52))</f>
        <v>14512.3219344482</v>
      </c>
      <c r="P52" s="27" t="n">
        <f aca="false">IF(P$4&lt;$B52,0,INDEX($D$10:$U$10,$B52)*(1-Assumptions!$E$18)^(P$4-$B52))</f>
        <v>13786.7058377258</v>
      </c>
      <c r="Q52" s="27" t="n">
        <f aca="false">IF(Q$4&lt;$B52,0,INDEX($D$10:$U$10,$B52)*(1-Assumptions!$E$18)^(Q$4-$B52))</f>
        <v>13097.3705458395</v>
      </c>
      <c r="R52" s="27" t="n">
        <f aca="false">IF(R$4&lt;$B52,0,INDEX($D$10:$U$10,$B52)*(1-Assumptions!$E$18)^(R$4-$B52))</f>
        <v>12442.5020185476</v>
      </c>
      <c r="S52" s="27" t="n">
        <f aca="false">IF(S$4&lt;$B52,0,INDEX($D$10:$U$10,$B52)*(1-Assumptions!$E$18)^(S$4-$B52))</f>
        <v>11820.3769176202</v>
      </c>
      <c r="T52" s="27" t="n">
        <f aca="false">IF(T$4&lt;$B52,0,INDEX($D$10:$U$10,$B52)*(1-Assumptions!$E$18)^(T$4-$B52))</f>
        <v>11229.3580717392</v>
      </c>
      <c r="U52" s="27" t="n">
        <f aca="false">IF(U$4&lt;$B52,0,INDEX($D$10:$U$10,$B52)*(1-Assumptions!$E$18)^(U$4-$B52))</f>
        <v>10667.8901681522</v>
      </c>
    </row>
    <row r="53" customFormat="false" ht="15" hidden="false" customHeight="false" outlineLevel="0" collapsed="false">
      <c r="A53" s="2" t="s">
        <v>270</v>
      </c>
      <c r="B53" s="15" t="n">
        <v>5</v>
      </c>
      <c r="D53" s="27" t="n">
        <f aca="false">IF(D$4&lt;$B53,0,INDEX($D$10:$U$10,$B53)*(1-Assumptions!$E$18)^(D$4-$B53))</f>
        <v>0</v>
      </c>
      <c r="E53" s="27" t="n">
        <f aca="false">IF(E$4&lt;$B53,0,INDEX($D$10:$U$10,$B53)*(1-Assumptions!$E$18)^(E$4-$B53))</f>
        <v>0</v>
      </c>
      <c r="F53" s="27" t="n">
        <f aca="false">IF(F$4&lt;$B53,0,INDEX($D$10:$U$10,$B53)*(1-Assumptions!$E$18)^(F$4-$B53))</f>
        <v>0</v>
      </c>
      <c r="G53" s="27" t="n">
        <f aca="false">IF(G$4&lt;$B53,0,INDEX($D$10:$U$10,$B53)*(1-Assumptions!$E$18)^(G$4-$B53))</f>
        <v>0</v>
      </c>
      <c r="H53" s="27" t="n">
        <f aca="false">IF(H$4&lt;$B53,0,INDEX($D$10:$U$10,$B53)*(1-Assumptions!$E$18)^(H$4-$B53))</f>
        <v>26250</v>
      </c>
      <c r="I53" s="27" t="n">
        <f aca="false">IF(I$4&lt;$B53,0,INDEX($D$10:$U$10,$B53)*(1-Assumptions!$E$18)^(I$4-$B53))</f>
        <v>24937.5</v>
      </c>
      <c r="J53" s="27" t="n">
        <f aca="false">IF(J$4&lt;$B53,0,INDEX($D$10:$U$10,$B53)*(1-Assumptions!$E$18)^(J$4-$B53))</f>
        <v>23690.625</v>
      </c>
      <c r="K53" s="27" t="n">
        <f aca="false">IF(K$4&lt;$B53,0,INDEX($D$10:$U$10,$B53)*(1-Assumptions!$E$18)^(K$4-$B53))</f>
        <v>22506.09375</v>
      </c>
      <c r="L53" s="27" t="n">
        <f aca="false">IF(L$4&lt;$B53,0,INDEX($D$10:$U$10,$B53)*(1-Assumptions!$E$18)^(L$4-$B53))</f>
        <v>21380.7890625</v>
      </c>
      <c r="M53" s="27" t="n">
        <f aca="false">IF(M$4&lt;$B53,0,INDEX($D$10:$U$10,$B53)*(1-Assumptions!$E$18)^(M$4-$B53))</f>
        <v>20311.749609375</v>
      </c>
      <c r="N53" s="27" t="n">
        <f aca="false">IF(N$4&lt;$B53,0,INDEX($D$10:$U$10,$B53)*(1-Assumptions!$E$18)^(N$4-$B53))</f>
        <v>19296.1621289062</v>
      </c>
      <c r="O53" s="27" t="n">
        <f aca="false">IF(O$4&lt;$B53,0,INDEX($D$10:$U$10,$B53)*(1-Assumptions!$E$18)^(O$4-$B53))</f>
        <v>18331.3540224609</v>
      </c>
      <c r="P53" s="27" t="n">
        <f aca="false">IF(P$4&lt;$B53,0,INDEX($D$10:$U$10,$B53)*(1-Assumptions!$E$18)^(P$4-$B53))</f>
        <v>17414.7863213379</v>
      </c>
      <c r="Q53" s="27" t="n">
        <f aca="false">IF(Q$4&lt;$B53,0,INDEX($D$10:$U$10,$B53)*(1-Assumptions!$E$18)^(Q$4-$B53))</f>
        <v>16544.047005271</v>
      </c>
      <c r="R53" s="27" t="n">
        <f aca="false">IF(R$4&lt;$B53,0,INDEX($D$10:$U$10,$B53)*(1-Assumptions!$E$18)^(R$4-$B53))</f>
        <v>15716.8446550074</v>
      </c>
      <c r="S53" s="27" t="n">
        <f aca="false">IF(S$4&lt;$B53,0,INDEX($D$10:$U$10,$B53)*(1-Assumptions!$E$18)^(S$4-$B53))</f>
        <v>14931.0024222571</v>
      </c>
      <c r="T53" s="27" t="n">
        <f aca="false">IF(T$4&lt;$B53,0,INDEX($D$10:$U$10,$B53)*(1-Assumptions!$E$18)^(T$4-$B53))</f>
        <v>14184.4523011442</v>
      </c>
      <c r="U53" s="27" t="n">
        <f aca="false">IF(U$4&lt;$B53,0,INDEX($D$10:$U$10,$B53)*(1-Assumptions!$E$18)^(U$4-$B53))</f>
        <v>13475.229686087</v>
      </c>
    </row>
    <row r="54" customFormat="false" ht="15" hidden="false" customHeight="false" outlineLevel="0" collapsed="false">
      <c r="A54" s="2" t="s">
        <v>271</v>
      </c>
      <c r="B54" s="15" t="n">
        <v>6</v>
      </c>
      <c r="D54" s="27" t="n">
        <f aca="false">IF(D$4&lt;$B54,0,INDEX($D$10:$U$10,$B54)*(1-Assumptions!$E$18)^(D$4-$B54))</f>
        <v>0</v>
      </c>
      <c r="E54" s="27" t="n">
        <f aca="false">IF(E$4&lt;$B54,0,INDEX($D$10:$U$10,$B54)*(1-Assumptions!$E$18)^(E$4-$B54))</f>
        <v>0</v>
      </c>
      <c r="F54" s="27" t="n">
        <f aca="false">IF(F$4&lt;$B54,0,INDEX($D$10:$U$10,$B54)*(1-Assumptions!$E$18)^(F$4-$B54))</f>
        <v>0</v>
      </c>
      <c r="G54" s="27" t="n">
        <f aca="false">IF(G$4&lt;$B54,0,INDEX($D$10:$U$10,$B54)*(1-Assumptions!$E$18)^(G$4-$B54))</f>
        <v>0</v>
      </c>
      <c r="H54" s="27" t="n">
        <f aca="false">IF(H$4&lt;$B54,0,INDEX($D$10:$U$10,$B54)*(1-Assumptions!$E$18)^(H$4-$B54))</f>
        <v>0</v>
      </c>
      <c r="I54" s="27" t="n">
        <f aca="false">IF(I$4&lt;$B54,0,INDEX($D$10:$U$10,$B54)*(1-Assumptions!$E$18)^(I$4-$B54))</f>
        <v>30625</v>
      </c>
      <c r="J54" s="27" t="n">
        <f aca="false">IF(J$4&lt;$B54,0,INDEX($D$10:$U$10,$B54)*(1-Assumptions!$E$18)^(J$4-$B54))</f>
        <v>29093.75</v>
      </c>
      <c r="K54" s="27" t="n">
        <f aca="false">IF(K$4&lt;$B54,0,INDEX($D$10:$U$10,$B54)*(1-Assumptions!$E$18)^(K$4-$B54))</f>
        <v>27639.0625</v>
      </c>
      <c r="L54" s="27" t="n">
        <f aca="false">IF(L$4&lt;$B54,0,INDEX($D$10:$U$10,$B54)*(1-Assumptions!$E$18)^(L$4-$B54))</f>
        <v>26257.109375</v>
      </c>
      <c r="M54" s="27" t="n">
        <f aca="false">IF(M$4&lt;$B54,0,INDEX($D$10:$U$10,$B54)*(1-Assumptions!$E$18)^(M$4-$B54))</f>
        <v>24944.25390625</v>
      </c>
      <c r="N54" s="27" t="n">
        <f aca="false">IF(N$4&lt;$B54,0,INDEX($D$10:$U$10,$B54)*(1-Assumptions!$E$18)^(N$4-$B54))</f>
        <v>23697.0412109375</v>
      </c>
      <c r="O54" s="27" t="n">
        <f aca="false">IF(O$4&lt;$B54,0,INDEX($D$10:$U$10,$B54)*(1-Assumptions!$E$18)^(O$4-$B54))</f>
        <v>22512.1891503906</v>
      </c>
      <c r="P54" s="27" t="n">
        <f aca="false">IF(P$4&lt;$B54,0,INDEX($D$10:$U$10,$B54)*(1-Assumptions!$E$18)^(P$4-$B54))</f>
        <v>21386.5796928711</v>
      </c>
      <c r="Q54" s="27" t="n">
        <f aca="false">IF(Q$4&lt;$B54,0,INDEX($D$10:$U$10,$B54)*(1-Assumptions!$E$18)^(Q$4-$B54))</f>
        <v>20317.2507082275</v>
      </c>
      <c r="R54" s="27" t="n">
        <f aca="false">IF(R$4&lt;$B54,0,INDEX($D$10:$U$10,$B54)*(1-Assumptions!$E$18)^(R$4-$B54))</f>
        <v>19301.3881728162</v>
      </c>
      <c r="S54" s="27" t="n">
        <f aca="false">IF(S$4&lt;$B54,0,INDEX($D$10:$U$10,$B54)*(1-Assumptions!$E$18)^(S$4-$B54))</f>
        <v>18336.3187641753</v>
      </c>
      <c r="T54" s="27" t="n">
        <f aca="false">IF(T$4&lt;$B54,0,INDEX($D$10:$U$10,$B54)*(1-Assumptions!$E$18)^(T$4-$B54))</f>
        <v>17419.5028259666</v>
      </c>
      <c r="U54" s="27" t="n">
        <f aca="false">IF(U$4&lt;$B54,0,INDEX($D$10:$U$10,$B54)*(1-Assumptions!$E$18)^(U$4-$B54))</f>
        <v>16548.5276846682</v>
      </c>
    </row>
    <row r="55" customFormat="false" ht="15" hidden="false" customHeight="false" outlineLevel="0" collapsed="false">
      <c r="A55" s="2" t="s">
        <v>272</v>
      </c>
      <c r="B55" s="15" t="n">
        <v>7</v>
      </c>
      <c r="D55" s="27" t="n">
        <f aca="false">IF(D$4&lt;$B55,0,INDEX($D$10:$U$10,$B55)*(1-Assumptions!$E$18)^(D$4-$B55))</f>
        <v>0</v>
      </c>
      <c r="E55" s="27" t="n">
        <f aca="false">IF(E$4&lt;$B55,0,INDEX($D$10:$U$10,$B55)*(1-Assumptions!$E$18)^(E$4-$B55))</f>
        <v>0</v>
      </c>
      <c r="F55" s="27" t="n">
        <f aca="false">IF(F$4&lt;$B55,0,INDEX($D$10:$U$10,$B55)*(1-Assumptions!$E$18)^(F$4-$B55))</f>
        <v>0</v>
      </c>
      <c r="G55" s="27" t="n">
        <f aca="false">IF(G$4&lt;$B55,0,INDEX($D$10:$U$10,$B55)*(1-Assumptions!$E$18)^(G$4-$B55))</f>
        <v>0</v>
      </c>
      <c r="H55" s="27" t="n">
        <f aca="false">IF(H$4&lt;$B55,0,INDEX($D$10:$U$10,$B55)*(1-Assumptions!$E$18)^(H$4-$B55))</f>
        <v>0</v>
      </c>
      <c r="I55" s="27" t="n">
        <f aca="false">IF(I$4&lt;$B55,0,INDEX($D$10:$U$10,$B55)*(1-Assumptions!$E$18)^(I$4-$B55))</f>
        <v>0</v>
      </c>
      <c r="J55" s="27" t="n">
        <f aca="false">IF(J$4&lt;$B55,0,INDEX($D$10:$U$10,$B55)*(1-Assumptions!$E$18)^(J$4-$B55))</f>
        <v>30625</v>
      </c>
      <c r="K55" s="27" t="n">
        <f aca="false">IF(K$4&lt;$B55,0,INDEX($D$10:$U$10,$B55)*(1-Assumptions!$E$18)^(K$4-$B55))</f>
        <v>29093.75</v>
      </c>
      <c r="L55" s="27" t="n">
        <f aca="false">IF(L$4&lt;$B55,0,INDEX($D$10:$U$10,$B55)*(1-Assumptions!$E$18)^(L$4-$B55))</f>
        <v>27639.0625</v>
      </c>
      <c r="M55" s="27" t="n">
        <f aca="false">IF(M$4&lt;$B55,0,INDEX($D$10:$U$10,$B55)*(1-Assumptions!$E$18)^(M$4-$B55))</f>
        <v>26257.109375</v>
      </c>
      <c r="N55" s="27" t="n">
        <f aca="false">IF(N$4&lt;$B55,0,INDEX($D$10:$U$10,$B55)*(1-Assumptions!$E$18)^(N$4-$B55))</f>
        <v>24944.25390625</v>
      </c>
      <c r="O55" s="27" t="n">
        <f aca="false">IF(O$4&lt;$B55,0,INDEX($D$10:$U$10,$B55)*(1-Assumptions!$E$18)^(O$4-$B55))</f>
        <v>23697.0412109375</v>
      </c>
      <c r="P55" s="27" t="n">
        <f aca="false">IF(P$4&lt;$B55,0,INDEX($D$10:$U$10,$B55)*(1-Assumptions!$E$18)^(P$4-$B55))</f>
        <v>22512.1891503906</v>
      </c>
      <c r="Q55" s="27" t="n">
        <f aca="false">IF(Q$4&lt;$B55,0,INDEX($D$10:$U$10,$B55)*(1-Assumptions!$E$18)^(Q$4-$B55))</f>
        <v>21386.5796928711</v>
      </c>
      <c r="R55" s="27" t="n">
        <f aca="false">IF(R$4&lt;$B55,0,INDEX($D$10:$U$10,$B55)*(1-Assumptions!$E$18)^(R$4-$B55))</f>
        <v>20317.2507082275</v>
      </c>
      <c r="S55" s="27" t="n">
        <f aca="false">IF(S$4&lt;$B55,0,INDEX($D$10:$U$10,$B55)*(1-Assumptions!$E$18)^(S$4-$B55))</f>
        <v>19301.3881728162</v>
      </c>
      <c r="T55" s="27" t="n">
        <f aca="false">IF(T$4&lt;$B55,0,INDEX($D$10:$U$10,$B55)*(1-Assumptions!$E$18)^(T$4-$B55))</f>
        <v>18336.3187641753</v>
      </c>
      <c r="U55" s="27" t="n">
        <f aca="false">IF(U$4&lt;$B55,0,INDEX($D$10:$U$10,$B55)*(1-Assumptions!$E$18)^(U$4-$B55))</f>
        <v>17419.5028259666</v>
      </c>
    </row>
    <row r="56" customFormat="false" ht="15" hidden="false" customHeight="false" outlineLevel="0" collapsed="false">
      <c r="A56" s="2" t="s">
        <v>273</v>
      </c>
      <c r="B56" s="15" t="n">
        <v>8</v>
      </c>
      <c r="D56" s="27" t="n">
        <f aca="false">IF(D$4&lt;$B56,0,INDEX($D$10:$U$10,$B56)*(1-Assumptions!$E$18)^(D$4-$B56))</f>
        <v>0</v>
      </c>
      <c r="E56" s="27" t="n">
        <f aca="false">IF(E$4&lt;$B56,0,INDEX($D$10:$U$10,$B56)*(1-Assumptions!$E$18)^(E$4-$B56))</f>
        <v>0</v>
      </c>
      <c r="F56" s="27" t="n">
        <f aca="false">IF(F$4&lt;$B56,0,INDEX($D$10:$U$10,$B56)*(1-Assumptions!$E$18)^(F$4-$B56))</f>
        <v>0</v>
      </c>
      <c r="G56" s="27" t="n">
        <f aca="false">IF(G$4&lt;$B56,0,INDEX($D$10:$U$10,$B56)*(1-Assumptions!$E$18)^(G$4-$B56))</f>
        <v>0</v>
      </c>
      <c r="H56" s="27" t="n">
        <f aca="false">IF(H$4&lt;$B56,0,INDEX($D$10:$U$10,$B56)*(1-Assumptions!$E$18)^(H$4-$B56))</f>
        <v>0</v>
      </c>
      <c r="I56" s="27" t="n">
        <f aca="false">IF(I$4&lt;$B56,0,INDEX($D$10:$U$10,$B56)*(1-Assumptions!$E$18)^(I$4-$B56))</f>
        <v>0</v>
      </c>
      <c r="J56" s="27" t="n">
        <f aca="false">IF(J$4&lt;$B56,0,INDEX($D$10:$U$10,$B56)*(1-Assumptions!$E$18)^(J$4-$B56))</f>
        <v>0</v>
      </c>
      <c r="K56" s="27" t="n">
        <f aca="false">IF(K$4&lt;$B56,0,INDEX($D$10:$U$10,$B56)*(1-Assumptions!$E$18)^(K$4-$B56))</f>
        <v>30625</v>
      </c>
      <c r="L56" s="27" t="n">
        <f aca="false">IF(L$4&lt;$B56,0,INDEX($D$10:$U$10,$B56)*(1-Assumptions!$E$18)^(L$4-$B56))</f>
        <v>29093.75</v>
      </c>
      <c r="M56" s="27" t="n">
        <f aca="false">IF(M$4&lt;$B56,0,INDEX($D$10:$U$10,$B56)*(1-Assumptions!$E$18)^(M$4-$B56))</f>
        <v>27639.0625</v>
      </c>
      <c r="N56" s="27" t="n">
        <f aca="false">IF(N$4&lt;$B56,0,INDEX($D$10:$U$10,$B56)*(1-Assumptions!$E$18)^(N$4-$B56))</f>
        <v>26257.109375</v>
      </c>
      <c r="O56" s="27" t="n">
        <f aca="false">IF(O$4&lt;$B56,0,INDEX($D$10:$U$10,$B56)*(1-Assumptions!$E$18)^(O$4-$B56))</f>
        <v>24944.25390625</v>
      </c>
      <c r="P56" s="27" t="n">
        <f aca="false">IF(P$4&lt;$B56,0,INDEX($D$10:$U$10,$B56)*(1-Assumptions!$E$18)^(P$4-$B56))</f>
        <v>23697.0412109375</v>
      </c>
      <c r="Q56" s="27" t="n">
        <f aca="false">IF(Q$4&lt;$B56,0,INDEX($D$10:$U$10,$B56)*(1-Assumptions!$E$18)^(Q$4-$B56))</f>
        <v>22512.1891503906</v>
      </c>
      <c r="R56" s="27" t="n">
        <f aca="false">IF(R$4&lt;$B56,0,INDEX($D$10:$U$10,$B56)*(1-Assumptions!$E$18)^(R$4-$B56))</f>
        <v>21386.5796928711</v>
      </c>
      <c r="S56" s="27" t="n">
        <f aca="false">IF(S$4&lt;$B56,0,INDEX($D$10:$U$10,$B56)*(1-Assumptions!$E$18)^(S$4-$B56))</f>
        <v>20317.2507082275</v>
      </c>
      <c r="T56" s="27" t="n">
        <f aca="false">IF(T$4&lt;$B56,0,INDEX($D$10:$U$10,$B56)*(1-Assumptions!$E$18)^(T$4-$B56))</f>
        <v>19301.3881728162</v>
      </c>
      <c r="U56" s="27" t="n">
        <f aca="false">IF(U$4&lt;$B56,0,INDEX($D$10:$U$10,$B56)*(1-Assumptions!$E$18)^(U$4-$B56))</f>
        <v>18336.3187641753</v>
      </c>
    </row>
    <row r="57" customFormat="false" ht="15" hidden="false" customHeight="false" outlineLevel="0" collapsed="false">
      <c r="A57" s="2" t="s">
        <v>274</v>
      </c>
      <c r="B57" s="15" t="n">
        <v>9</v>
      </c>
      <c r="D57" s="27" t="n">
        <f aca="false">IF(D$4&lt;$B57,0,INDEX($D$10:$U$10,$B57)*(1-Assumptions!$E$18)^(D$4-$B57))</f>
        <v>0</v>
      </c>
      <c r="E57" s="27" t="n">
        <f aca="false">IF(E$4&lt;$B57,0,INDEX($D$10:$U$10,$B57)*(1-Assumptions!$E$18)^(E$4-$B57))</f>
        <v>0</v>
      </c>
      <c r="F57" s="27" t="n">
        <f aca="false">IF(F$4&lt;$B57,0,INDEX($D$10:$U$10,$B57)*(1-Assumptions!$E$18)^(F$4-$B57))</f>
        <v>0</v>
      </c>
      <c r="G57" s="27" t="n">
        <f aca="false">IF(G$4&lt;$B57,0,INDEX($D$10:$U$10,$B57)*(1-Assumptions!$E$18)^(G$4-$B57))</f>
        <v>0</v>
      </c>
      <c r="H57" s="27" t="n">
        <f aca="false">IF(H$4&lt;$B57,0,INDEX($D$10:$U$10,$B57)*(1-Assumptions!$E$18)^(H$4-$B57))</f>
        <v>0</v>
      </c>
      <c r="I57" s="27" t="n">
        <f aca="false">IF(I$4&lt;$B57,0,INDEX($D$10:$U$10,$B57)*(1-Assumptions!$E$18)^(I$4-$B57))</f>
        <v>0</v>
      </c>
      <c r="J57" s="27" t="n">
        <f aca="false">IF(J$4&lt;$B57,0,INDEX($D$10:$U$10,$B57)*(1-Assumptions!$E$18)^(J$4-$B57))</f>
        <v>0</v>
      </c>
      <c r="K57" s="27" t="n">
        <f aca="false">IF(K$4&lt;$B57,0,INDEX($D$10:$U$10,$B57)*(1-Assumptions!$E$18)^(K$4-$B57))</f>
        <v>0</v>
      </c>
      <c r="L57" s="27" t="n">
        <f aca="false">IF(L$4&lt;$B57,0,INDEX($D$10:$U$10,$B57)*(1-Assumptions!$E$18)^(L$4-$B57))</f>
        <v>30625</v>
      </c>
      <c r="M57" s="27" t="n">
        <f aca="false">IF(M$4&lt;$B57,0,INDEX($D$10:$U$10,$B57)*(1-Assumptions!$E$18)^(M$4-$B57))</f>
        <v>29093.75</v>
      </c>
      <c r="N57" s="27" t="n">
        <f aca="false">IF(N$4&lt;$B57,0,INDEX($D$10:$U$10,$B57)*(1-Assumptions!$E$18)^(N$4-$B57))</f>
        <v>27639.0625</v>
      </c>
      <c r="O57" s="27" t="n">
        <f aca="false">IF(O$4&lt;$B57,0,INDEX($D$10:$U$10,$B57)*(1-Assumptions!$E$18)^(O$4-$B57))</f>
        <v>26257.109375</v>
      </c>
      <c r="P57" s="27" t="n">
        <f aca="false">IF(P$4&lt;$B57,0,INDEX($D$10:$U$10,$B57)*(1-Assumptions!$E$18)^(P$4-$B57))</f>
        <v>24944.25390625</v>
      </c>
      <c r="Q57" s="27" t="n">
        <f aca="false">IF(Q$4&lt;$B57,0,INDEX($D$10:$U$10,$B57)*(1-Assumptions!$E$18)^(Q$4-$B57))</f>
        <v>23697.0412109375</v>
      </c>
      <c r="R57" s="27" t="n">
        <f aca="false">IF(R$4&lt;$B57,0,INDEX($D$10:$U$10,$B57)*(1-Assumptions!$E$18)^(R$4-$B57))</f>
        <v>22512.1891503906</v>
      </c>
      <c r="S57" s="27" t="n">
        <f aca="false">IF(S$4&lt;$B57,0,INDEX($D$10:$U$10,$B57)*(1-Assumptions!$E$18)^(S$4-$B57))</f>
        <v>21386.5796928711</v>
      </c>
      <c r="T57" s="27" t="n">
        <f aca="false">IF(T$4&lt;$B57,0,INDEX($D$10:$U$10,$B57)*(1-Assumptions!$E$18)^(T$4-$B57))</f>
        <v>20317.2507082275</v>
      </c>
      <c r="U57" s="27" t="n">
        <f aca="false">IF(U$4&lt;$B57,0,INDEX($D$10:$U$10,$B57)*(1-Assumptions!$E$18)^(U$4-$B57))</f>
        <v>19301.3881728162</v>
      </c>
    </row>
    <row r="58" customFormat="false" ht="15" hidden="false" customHeight="false" outlineLevel="0" collapsed="false">
      <c r="A58" s="2" t="s">
        <v>275</v>
      </c>
      <c r="B58" s="15" t="n">
        <v>10</v>
      </c>
      <c r="D58" s="27" t="n">
        <f aca="false">IF(D$4&lt;$B58,0,INDEX($D$10:$U$10,$B58)*(1-Assumptions!$E$18)^(D$4-$B58))</f>
        <v>0</v>
      </c>
      <c r="E58" s="27" t="n">
        <f aca="false">IF(E$4&lt;$B58,0,INDEX($D$10:$U$10,$B58)*(1-Assumptions!$E$18)^(E$4-$B58))</f>
        <v>0</v>
      </c>
      <c r="F58" s="27" t="n">
        <f aca="false">IF(F$4&lt;$B58,0,INDEX($D$10:$U$10,$B58)*(1-Assumptions!$E$18)^(F$4-$B58))</f>
        <v>0</v>
      </c>
      <c r="G58" s="27" t="n">
        <f aca="false">IF(G$4&lt;$B58,0,INDEX($D$10:$U$10,$B58)*(1-Assumptions!$E$18)^(G$4-$B58))</f>
        <v>0</v>
      </c>
      <c r="H58" s="27" t="n">
        <f aca="false">IF(H$4&lt;$B58,0,INDEX($D$10:$U$10,$B58)*(1-Assumptions!$E$18)^(H$4-$B58))</f>
        <v>0</v>
      </c>
      <c r="I58" s="27" t="n">
        <f aca="false">IF(I$4&lt;$B58,0,INDEX($D$10:$U$10,$B58)*(1-Assumptions!$E$18)^(I$4-$B58))</f>
        <v>0</v>
      </c>
      <c r="J58" s="27" t="n">
        <f aca="false">IF(J$4&lt;$B58,0,INDEX($D$10:$U$10,$B58)*(1-Assumptions!$E$18)^(J$4-$B58))</f>
        <v>0</v>
      </c>
      <c r="K58" s="27" t="n">
        <f aca="false">IF(K$4&lt;$B58,0,INDEX($D$10:$U$10,$B58)*(1-Assumptions!$E$18)^(K$4-$B58))</f>
        <v>0</v>
      </c>
      <c r="L58" s="27" t="n">
        <f aca="false">IF(L$4&lt;$B58,0,INDEX($D$10:$U$10,$B58)*(1-Assumptions!$E$18)^(L$4-$B58))</f>
        <v>0</v>
      </c>
      <c r="M58" s="27" t="n">
        <f aca="false">IF(M$4&lt;$B58,0,INDEX($D$10:$U$10,$B58)*(1-Assumptions!$E$18)^(M$4-$B58))</f>
        <v>30625</v>
      </c>
      <c r="N58" s="27" t="n">
        <f aca="false">IF(N$4&lt;$B58,0,INDEX($D$10:$U$10,$B58)*(1-Assumptions!$E$18)^(N$4-$B58))</f>
        <v>29093.75</v>
      </c>
      <c r="O58" s="27" t="n">
        <f aca="false">IF(O$4&lt;$B58,0,INDEX($D$10:$U$10,$B58)*(1-Assumptions!$E$18)^(O$4-$B58))</f>
        <v>27639.0625</v>
      </c>
      <c r="P58" s="27" t="n">
        <f aca="false">IF(P$4&lt;$B58,0,INDEX($D$10:$U$10,$B58)*(1-Assumptions!$E$18)^(P$4-$B58))</f>
        <v>26257.109375</v>
      </c>
      <c r="Q58" s="27" t="n">
        <f aca="false">IF(Q$4&lt;$B58,0,INDEX($D$10:$U$10,$B58)*(1-Assumptions!$E$18)^(Q$4-$B58))</f>
        <v>24944.25390625</v>
      </c>
      <c r="R58" s="27" t="n">
        <f aca="false">IF(R$4&lt;$B58,0,INDEX($D$10:$U$10,$B58)*(1-Assumptions!$E$18)^(R$4-$B58))</f>
        <v>23697.0412109375</v>
      </c>
      <c r="S58" s="27" t="n">
        <f aca="false">IF(S$4&lt;$B58,0,INDEX($D$10:$U$10,$B58)*(1-Assumptions!$E$18)^(S$4-$B58))</f>
        <v>22512.1891503906</v>
      </c>
      <c r="T58" s="27" t="n">
        <f aca="false">IF(T$4&lt;$B58,0,INDEX($D$10:$U$10,$B58)*(1-Assumptions!$E$18)^(T$4-$B58))</f>
        <v>21386.5796928711</v>
      </c>
      <c r="U58" s="27" t="n">
        <f aca="false">IF(U$4&lt;$B58,0,INDEX($D$10:$U$10,$B58)*(1-Assumptions!$E$18)^(U$4-$B58))</f>
        <v>20317.2507082275</v>
      </c>
    </row>
    <row r="59" customFormat="false" ht="15" hidden="false" customHeight="false" outlineLevel="0" collapsed="false">
      <c r="A59" s="2" t="s">
        <v>276</v>
      </c>
      <c r="B59" s="15" t="n">
        <v>11</v>
      </c>
      <c r="D59" s="27" t="n">
        <f aca="false">IF(D$4&lt;$B59,0,INDEX($D$10:$U$10,$B59)*(1-Assumptions!$E$18)^(D$4-$B59))</f>
        <v>0</v>
      </c>
      <c r="E59" s="27" t="n">
        <f aca="false">IF(E$4&lt;$B59,0,INDEX($D$10:$U$10,$B59)*(1-Assumptions!$E$18)^(E$4-$B59))</f>
        <v>0</v>
      </c>
      <c r="F59" s="27" t="n">
        <f aca="false">IF(F$4&lt;$B59,0,INDEX($D$10:$U$10,$B59)*(1-Assumptions!$E$18)^(F$4-$B59))</f>
        <v>0</v>
      </c>
      <c r="G59" s="27" t="n">
        <f aca="false">IF(G$4&lt;$B59,0,INDEX($D$10:$U$10,$B59)*(1-Assumptions!$E$18)^(G$4-$B59))</f>
        <v>0</v>
      </c>
      <c r="H59" s="27" t="n">
        <f aca="false">IF(H$4&lt;$B59,0,INDEX($D$10:$U$10,$B59)*(1-Assumptions!$E$18)^(H$4-$B59))</f>
        <v>0</v>
      </c>
      <c r="I59" s="27" t="n">
        <f aca="false">IF(I$4&lt;$B59,0,INDEX($D$10:$U$10,$B59)*(1-Assumptions!$E$18)^(I$4-$B59))</f>
        <v>0</v>
      </c>
      <c r="J59" s="27" t="n">
        <f aca="false">IF(J$4&lt;$B59,0,INDEX($D$10:$U$10,$B59)*(1-Assumptions!$E$18)^(J$4-$B59))</f>
        <v>0</v>
      </c>
      <c r="K59" s="27" t="n">
        <f aca="false">IF(K$4&lt;$B59,0,INDEX($D$10:$U$10,$B59)*(1-Assumptions!$E$18)^(K$4-$B59))</f>
        <v>0</v>
      </c>
      <c r="L59" s="27" t="n">
        <f aca="false">IF(L$4&lt;$B59,0,INDEX($D$10:$U$10,$B59)*(1-Assumptions!$E$18)^(L$4-$B59))</f>
        <v>0</v>
      </c>
      <c r="M59" s="27" t="n">
        <f aca="false">IF(M$4&lt;$B59,0,INDEX($D$10:$U$10,$B59)*(1-Assumptions!$E$18)^(M$4-$B59))</f>
        <v>0</v>
      </c>
      <c r="N59" s="27" t="n">
        <f aca="false">IF(N$4&lt;$B59,0,INDEX($D$10:$U$10,$B59)*(1-Assumptions!$E$18)^(N$4-$B59))</f>
        <v>26250</v>
      </c>
      <c r="O59" s="27" t="n">
        <f aca="false">IF(O$4&lt;$B59,0,INDEX($D$10:$U$10,$B59)*(1-Assumptions!$E$18)^(O$4-$B59))</f>
        <v>24937.5</v>
      </c>
      <c r="P59" s="27" t="n">
        <f aca="false">IF(P$4&lt;$B59,0,INDEX($D$10:$U$10,$B59)*(1-Assumptions!$E$18)^(P$4-$B59))</f>
        <v>23690.625</v>
      </c>
      <c r="Q59" s="27" t="n">
        <f aca="false">IF(Q$4&lt;$B59,0,INDEX($D$10:$U$10,$B59)*(1-Assumptions!$E$18)^(Q$4-$B59))</f>
        <v>22506.09375</v>
      </c>
      <c r="R59" s="27" t="n">
        <f aca="false">IF(R$4&lt;$B59,0,INDEX($D$10:$U$10,$B59)*(1-Assumptions!$E$18)^(R$4-$B59))</f>
        <v>21380.7890625</v>
      </c>
      <c r="S59" s="27" t="n">
        <f aca="false">IF(S$4&lt;$B59,0,INDEX($D$10:$U$10,$B59)*(1-Assumptions!$E$18)^(S$4-$B59))</f>
        <v>20311.749609375</v>
      </c>
      <c r="T59" s="27" t="n">
        <f aca="false">IF(T$4&lt;$B59,0,INDEX($D$10:$U$10,$B59)*(1-Assumptions!$E$18)^(T$4-$B59))</f>
        <v>19296.1621289062</v>
      </c>
      <c r="U59" s="27" t="n">
        <f aca="false">IF(U$4&lt;$B59,0,INDEX($D$10:$U$10,$B59)*(1-Assumptions!$E$18)^(U$4-$B59))</f>
        <v>18331.3540224609</v>
      </c>
    </row>
    <row r="60" customFormat="false" ht="15" hidden="false" customHeight="false" outlineLevel="0" collapsed="false">
      <c r="A60" s="2" t="s">
        <v>277</v>
      </c>
      <c r="B60" s="15" t="n">
        <v>12</v>
      </c>
      <c r="D60" s="27" t="n">
        <f aca="false">IF(D$4&lt;$B60,0,INDEX($D$10:$U$10,$B60)*(1-Assumptions!$E$18)^(D$4-$B60))</f>
        <v>0</v>
      </c>
      <c r="E60" s="27" t="n">
        <f aca="false">IF(E$4&lt;$B60,0,INDEX($D$10:$U$10,$B60)*(1-Assumptions!$E$18)^(E$4-$B60))</f>
        <v>0</v>
      </c>
      <c r="F60" s="27" t="n">
        <f aca="false">IF(F$4&lt;$B60,0,INDEX($D$10:$U$10,$B60)*(1-Assumptions!$E$18)^(F$4-$B60))</f>
        <v>0</v>
      </c>
      <c r="G60" s="27" t="n">
        <f aca="false">IF(G$4&lt;$B60,0,INDEX($D$10:$U$10,$B60)*(1-Assumptions!$E$18)^(G$4-$B60))</f>
        <v>0</v>
      </c>
      <c r="H60" s="27" t="n">
        <f aca="false">IF(H$4&lt;$B60,0,INDEX($D$10:$U$10,$B60)*(1-Assumptions!$E$18)^(H$4-$B60))</f>
        <v>0</v>
      </c>
      <c r="I60" s="27" t="n">
        <f aca="false">IF(I$4&lt;$B60,0,INDEX($D$10:$U$10,$B60)*(1-Assumptions!$E$18)^(I$4-$B60))</f>
        <v>0</v>
      </c>
      <c r="J60" s="27" t="n">
        <f aca="false">IF(J$4&lt;$B60,0,INDEX($D$10:$U$10,$B60)*(1-Assumptions!$E$18)^(J$4-$B60))</f>
        <v>0</v>
      </c>
      <c r="K60" s="27" t="n">
        <f aca="false">IF(K$4&lt;$B60,0,INDEX($D$10:$U$10,$B60)*(1-Assumptions!$E$18)^(K$4-$B60))</f>
        <v>0</v>
      </c>
      <c r="L60" s="27" t="n">
        <f aca="false">IF(L$4&lt;$B60,0,INDEX($D$10:$U$10,$B60)*(1-Assumptions!$E$18)^(L$4-$B60))</f>
        <v>0</v>
      </c>
      <c r="M60" s="27" t="n">
        <f aca="false">IF(M$4&lt;$B60,0,INDEX($D$10:$U$10,$B60)*(1-Assumptions!$E$18)^(M$4-$B60))</f>
        <v>0</v>
      </c>
      <c r="N60" s="27" t="n">
        <f aca="false">IF(N$4&lt;$B60,0,INDEX($D$10:$U$10,$B60)*(1-Assumptions!$E$18)^(N$4-$B60))</f>
        <v>0</v>
      </c>
      <c r="O60" s="27" t="n">
        <f aca="false">IF(O$4&lt;$B60,0,INDEX($D$10:$U$10,$B60)*(1-Assumptions!$E$18)^(O$4-$B60))</f>
        <v>26250</v>
      </c>
      <c r="P60" s="27" t="n">
        <f aca="false">IF(P$4&lt;$B60,0,INDEX($D$10:$U$10,$B60)*(1-Assumptions!$E$18)^(P$4-$B60))</f>
        <v>24937.5</v>
      </c>
      <c r="Q60" s="27" t="n">
        <f aca="false">IF(Q$4&lt;$B60,0,INDEX($D$10:$U$10,$B60)*(1-Assumptions!$E$18)^(Q$4-$B60))</f>
        <v>23690.625</v>
      </c>
      <c r="R60" s="27" t="n">
        <f aca="false">IF(R$4&lt;$B60,0,INDEX($D$10:$U$10,$B60)*(1-Assumptions!$E$18)^(R$4-$B60))</f>
        <v>22506.09375</v>
      </c>
      <c r="S60" s="27" t="n">
        <f aca="false">IF(S$4&lt;$B60,0,INDEX($D$10:$U$10,$B60)*(1-Assumptions!$E$18)^(S$4-$B60))</f>
        <v>21380.7890625</v>
      </c>
      <c r="T60" s="27" t="n">
        <f aca="false">IF(T$4&lt;$B60,0,INDEX($D$10:$U$10,$B60)*(1-Assumptions!$E$18)^(T$4-$B60))</f>
        <v>20311.749609375</v>
      </c>
      <c r="U60" s="27" t="n">
        <f aca="false">IF(U$4&lt;$B60,0,INDEX($D$10:$U$10,$B60)*(1-Assumptions!$E$18)^(U$4-$B60))</f>
        <v>19296.1621289062</v>
      </c>
    </row>
    <row r="61" customFormat="false" ht="15" hidden="false" customHeight="false" outlineLevel="0" collapsed="false">
      <c r="A61" s="2" t="s">
        <v>278</v>
      </c>
      <c r="B61" s="15" t="n">
        <v>13</v>
      </c>
      <c r="D61" s="27" t="n">
        <f aca="false">IF(D$4&lt;$B61,0,INDEX($D$10:$U$10,$B61)*(1-Assumptions!$E$18)^(D$4-$B61))</f>
        <v>0</v>
      </c>
      <c r="E61" s="27" t="n">
        <f aca="false">IF(E$4&lt;$B61,0,INDEX($D$10:$U$10,$B61)*(1-Assumptions!$E$18)^(E$4-$B61))</f>
        <v>0</v>
      </c>
      <c r="F61" s="27" t="n">
        <f aca="false">IF(F$4&lt;$B61,0,INDEX($D$10:$U$10,$B61)*(1-Assumptions!$E$18)^(F$4-$B61))</f>
        <v>0</v>
      </c>
      <c r="G61" s="27" t="n">
        <f aca="false">IF(G$4&lt;$B61,0,INDEX($D$10:$U$10,$B61)*(1-Assumptions!$E$18)^(G$4-$B61))</f>
        <v>0</v>
      </c>
      <c r="H61" s="27" t="n">
        <f aca="false">IF(H$4&lt;$B61,0,INDEX($D$10:$U$10,$B61)*(1-Assumptions!$E$18)^(H$4-$B61))</f>
        <v>0</v>
      </c>
      <c r="I61" s="27" t="n">
        <f aca="false">IF(I$4&lt;$B61,0,INDEX($D$10:$U$10,$B61)*(1-Assumptions!$E$18)^(I$4-$B61))</f>
        <v>0</v>
      </c>
      <c r="J61" s="27" t="n">
        <f aca="false">IF(J$4&lt;$B61,0,INDEX($D$10:$U$10,$B61)*(1-Assumptions!$E$18)^(J$4-$B61))</f>
        <v>0</v>
      </c>
      <c r="K61" s="27" t="n">
        <f aca="false">IF(K$4&lt;$B61,0,INDEX($D$10:$U$10,$B61)*(1-Assumptions!$E$18)^(K$4-$B61))</f>
        <v>0</v>
      </c>
      <c r="L61" s="27" t="n">
        <f aca="false">IF(L$4&lt;$B61,0,INDEX($D$10:$U$10,$B61)*(1-Assumptions!$E$18)^(L$4-$B61))</f>
        <v>0</v>
      </c>
      <c r="M61" s="27" t="n">
        <f aca="false">IF(M$4&lt;$B61,0,INDEX($D$10:$U$10,$B61)*(1-Assumptions!$E$18)^(M$4-$B61))</f>
        <v>0</v>
      </c>
      <c r="N61" s="27" t="n">
        <f aca="false">IF(N$4&lt;$B61,0,INDEX($D$10:$U$10,$B61)*(1-Assumptions!$E$18)^(N$4-$B61))</f>
        <v>0</v>
      </c>
      <c r="O61" s="27" t="n">
        <f aca="false">IF(O$4&lt;$B61,0,INDEX($D$10:$U$10,$B61)*(1-Assumptions!$E$18)^(O$4-$B61))</f>
        <v>0</v>
      </c>
      <c r="P61" s="27" t="n">
        <f aca="false">IF(P$4&lt;$B61,0,INDEX($D$10:$U$10,$B61)*(1-Assumptions!$E$18)^(P$4-$B61))</f>
        <v>26250</v>
      </c>
      <c r="Q61" s="27" t="n">
        <f aca="false">IF(Q$4&lt;$B61,0,INDEX($D$10:$U$10,$B61)*(1-Assumptions!$E$18)^(Q$4-$B61))</f>
        <v>24937.5</v>
      </c>
      <c r="R61" s="27" t="n">
        <f aca="false">IF(R$4&lt;$B61,0,INDEX($D$10:$U$10,$B61)*(1-Assumptions!$E$18)^(R$4-$B61))</f>
        <v>23690.625</v>
      </c>
      <c r="S61" s="27" t="n">
        <f aca="false">IF(S$4&lt;$B61,0,INDEX($D$10:$U$10,$B61)*(1-Assumptions!$E$18)^(S$4-$B61))</f>
        <v>22506.09375</v>
      </c>
      <c r="T61" s="27" t="n">
        <f aca="false">IF(T$4&lt;$B61,0,INDEX($D$10:$U$10,$B61)*(1-Assumptions!$E$18)^(T$4-$B61))</f>
        <v>21380.7890625</v>
      </c>
      <c r="U61" s="27" t="n">
        <f aca="false">IF(U$4&lt;$B61,0,INDEX($D$10:$U$10,$B61)*(1-Assumptions!$E$18)^(U$4-$B61))</f>
        <v>20311.749609375</v>
      </c>
    </row>
    <row r="62" customFormat="false" ht="15" hidden="false" customHeight="false" outlineLevel="0" collapsed="false">
      <c r="A62" s="2" t="s">
        <v>279</v>
      </c>
      <c r="B62" s="15" t="n">
        <v>14</v>
      </c>
      <c r="D62" s="27" t="n">
        <f aca="false">IF(D$4&lt;$B62,0,INDEX($D$10:$U$10,$B62)*(1-Assumptions!$E$18)^(D$4-$B62))</f>
        <v>0</v>
      </c>
      <c r="E62" s="27" t="n">
        <f aca="false">IF(E$4&lt;$B62,0,INDEX($D$10:$U$10,$B62)*(1-Assumptions!$E$18)^(E$4-$B62))</f>
        <v>0</v>
      </c>
      <c r="F62" s="27" t="n">
        <f aca="false">IF(F$4&lt;$B62,0,INDEX($D$10:$U$10,$B62)*(1-Assumptions!$E$18)^(F$4-$B62))</f>
        <v>0</v>
      </c>
      <c r="G62" s="27" t="n">
        <f aca="false">IF(G$4&lt;$B62,0,INDEX($D$10:$U$10,$B62)*(1-Assumptions!$E$18)^(G$4-$B62))</f>
        <v>0</v>
      </c>
      <c r="H62" s="27" t="n">
        <f aca="false">IF(H$4&lt;$B62,0,INDEX($D$10:$U$10,$B62)*(1-Assumptions!$E$18)^(H$4-$B62))</f>
        <v>0</v>
      </c>
      <c r="I62" s="27" t="n">
        <f aca="false">IF(I$4&lt;$B62,0,INDEX($D$10:$U$10,$B62)*(1-Assumptions!$E$18)^(I$4-$B62))</f>
        <v>0</v>
      </c>
      <c r="J62" s="27" t="n">
        <f aca="false">IF(J$4&lt;$B62,0,INDEX($D$10:$U$10,$B62)*(1-Assumptions!$E$18)^(J$4-$B62))</f>
        <v>0</v>
      </c>
      <c r="K62" s="27" t="n">
        <f aca="false">IF(K$4&lt;$B62,0,INDEX($D$10:$U$10,$B62)*(1-Assumptions!$E$18)^(K$4-$B62))</f>
        <v>0</v>
      </c>
      <c r="L62" s="27" t="n">
        <f aca="false">IF(L$4&lt;$B62,0,INDEX($D$10:$U$10,$B62)*(1-Assumptions!$E$18)^(L$4-$B62))</f>
        <v>0</v>
      </c>
      <c r="M62" s="27" t="n">
        <f aca="false">IF(M$4&lt;$B62,0,INDEX($D$10:$U$10,$B62)*(1-Assumptions!$E$18)^(M$4-$B62))</f>
        <v>0</v>
      </c>
      <c r="N62" s="27" t="n">
        <f aca="false">IF(N$4&lt;$B62,0,INDEX($D$10:$U$10,$B62)*(1-Assumptions!$E$18)^(N$4-$B62))</f>
        <v>0</v>
      </c>
      <c r="O62" s="27" t="n">
        <f aca="false">IF(O$4&lt;$B62,0,INDEX($D$10:$U$10,$B62)*(1-Assumptions!$E$18)^(O$4-$B62))</f>
        <v>0</v>
      </c>
      <c r="P62" s="27" t="n">
        <f aca="false">IF(P$4&lt;$B62,0,INDEX($D$10:$U$10,$B62)*(1-Assumptions!$E$18)^(P$4-$B62))</f>
        <v>0</v>
      </c>
      <c r="Q62" s="27" t="n">
        <f aca="false">IF(Q$4&lt;$B62,0,INDEX($D$10:$U$10,$B62)*(1-Assumptions!$E$18)^(Q$4-$B62))</f>
        <v>21875</v>
      </c>
      <c r="R62" s="27" t="n">
        <f aca="false">IF(R$4&lt;$B62,0,INDEX($D$10:$U$10,$B62)*(1-Assumptions!$E$18)^(R$4-$B62))</f>
        <v>20781.25</v>
      </c>
      <c r="S62" s="27" t="n">
        <f aca="false">IF(S$4&lt;$B62,0,INDEX($D$10:$U$10,$B62)*(1-Assumptions!$E$18)^(S$4-$B62))</f>
        <v>19742.1875</v>
      </c>
      <c r="T62" s="27" t="n">
        <f aca="false">IF(T$4&lt;$B62,0,INDEX($D$10:$U$10,$B62)*(1-Assumptions!$E$18)^(T$4-$B62))</f>
        <v>18755.078125</v>
      </c>
      <c r="U62" s="27" t="n">
        <f aca="false">IF(U$4&lt;$B62,0,INDEX($D$10:$U$10,$B62)*(1-Assumptions!$E$18)^(U$4-$B62))</f>
        <v>17817.32421875</v>
      </c>
    </row>
    <row r="63" customFormat="false" ht="15" hidden="false" customHeight="false" outlineLevel="0" collapsed="false">
      <c r="A63" s="2" t="s">
        <v>280</v>
      </c>
      <c r="B63" s="15" t="n">
        <v>15</v>
      </c>
      <c r="D63" s="27" t="n">
        <f aca="false">IF(D$4&lt;$B63,0,INDEX($D$10:$U$10,$B63)*(1-Assumptions!$E$18)^(D$4-$B63))</f>
        <v>0</v>
      </c>
      <c r="E63" s="27" t="n">
        <f aca="false">IF(E$4&lt;$B63,0,INDEX($D$10:$U$10,$B63)*(1-Assumptions!$E$18)^(E$4-$B63))</f>
        <v>0</v>
      </c>
      <c r="F63" s="27" t="n">
        <f aca="false">IF(F$4&lt;$B63,0,INDEX($D$10:$U$10,$B63)*(1-Assumptions!$E$18)^(F$4-$B63))</f>
        <v>0</v>
      </c>
      <c r="G63" s="27" t="n">
        <f aca="false">IF(G$4&lt;$B63,0,INDEX($D$10:$U$10,$B63)*(1-Assumptions!$E$18)^(G$4-$B63))</f>
        <v>0</v>
      </c>
      <c r="H63" s="27" t="n">
        <f aca="false">IF(H$4&lt;$B63,0,INDEX($D$10:$U$10,$B63)*(1-Assumptions!$E$18)^(H$4-$B63))</f>
        <v>0</v>
      </c>
      <c r="I63" s="27" t="n">
        <f aca="false">IF(I$4&lt;$B63,0,INDEX($D$10:$U$10,$B63)*(1-Assumptions!$E$18)^(I$4-$B63))</f>
        <v>0</v>
      </c>
      <c r="J63" s="27" t="n">
        <f aca="false">IF(J$4&lt;$B63,0,INDEX($D$10:$U$10,$B63)*(1-Assumptions!$E$18)^(J$4-$B63))</f>
        <v>0</v>
      </c>
      <c r="K63" s="27" t="n">
        <f aca="false">IF(K$4&lt;$B63,0,INDEX($D$10:$U$10,$B63)*(1-Assumptions!$E$18)^(K$4-$B63))</f>
        <v>0</v>
      </c>
      <c r="L63" s="27" t="n">
        <f aca="false">IF(L$4&lt;$B63,0,INDEX($D$10:$U$10,$B63)*(1-Assumptions!$E$18)^(L$4-$B63))</f>
        <v>0</v>
      </c>
      <c r="M63" s="27" t="n">
        <f aca="false">IF(M$4&lt;$B63,0,INDEX($D$10:$U$10,$B63)*(1-Assumptions!$E$18)^(M$4-$B63))</f>
        <v>0</v>
      </c>
      <c r="N63" s="27" t="n">
        <f aca="false">IF(N$4&lt;$B63,0,INDEX($D$10:$U$10,$B63)*(1-Assumptions!$E$18)^(N$4-$B63))</f>
        <v>0</v>
      </c>
      <c r="O63" s="27" t="n">
        <f aca="false">IF(O$4&lt;$B63,0,INDEX($D$10:$U$10,$B63)*(1-Assumptions!$E$18)^(O$4-$B63))</f>
        <v>0</v>
      </c>
      <c r="P63" s="27" t="n">
        <f aca="false">IF(P$4&lt;$B63,0,INDEX($D$10:$U$10,$B63)*(1-Assumptions!$E$18)^(P$4-$B63))</f>
        <v>0</v>
      </c>
      <c r="Q63" s="27" t="n">
        <f aca="false">IF(Q$4&lt;$B63,0,INDEX($D$10:$U$10,$B63)*(1-Assumptions!$E$18)^(Q$4-$B63))</f>
        <v>0</v>
      </c>
      <c r="R63" s="27" t="n">
        <f aca="false">IF(R$4&lt;$B63,0,INDEX($D$10:$U$10,$B63)*(1-Assumptions!$E$18)^(R$4-$B63))</f>
        <v>21875</v>
      </c>
      <c r="S63" s="27" t="n">
        <f aca="false">IF(S$4&lt;$B63,0,INDEX($D$10:$U$10,$B63)*(1-Assumptions!$E$18)^(S$4-$B63))</f>
        <v>20781.25</v>
      </c>
      <c r="T63" s="27" t="n">
        <f aca="false">IF(T$4&lt;$B63,0,INDEX($D$10:$U$10,$B63)*(1-Assumptions!$E$18)^(T$4-$B63))</f>
        <v>19742.1875</v>
      </c>
      <c r="U63" s="27" t="n">
        <f aca="false">IF(U$4&lt;$B63,0,INDEX($D$10:$U$10,$B63)*(1-Assumptions!$E$18)^(U$4-$B63))</f>
        <v>18755.078125</v>
      </c>
    </row>
    <row r="64" customFormat="false" ht="15" hidden="false" customHeight="false" outlineLevel="0" collapsed="false">
      <c r="A64" s="2" t="s">
        <v>281</v>
      </c>
      <c r="B64" s="15" t="n">
        <v>16</v>
      </c>
      <c r="D64" s="27" t="n">
        <f aca="false">IF(D$4&lt;$B64,0,INDEX($D$10:$U$10,$B64)*(1-Assumptions!$E$18)^(D$4-$B64))</f>
        <v>0</v>
      </c>
      <c r="E64" s="27" t="n">
        <f aca="false">IF(E$4&lt;$B64,0,INDEX($D$10:$U$10,$B64)*(1-Assumptions!$E$18)^(E$4-$B64))</f>
        <v>0</v>
      </c>
      <c r="F64" s="27" t="n">
        <f aca="false">IF(F$4&lt;$B64,0,INDEX($D$10:$U$10,$B64)*(1-Assumptions!$E$18)^(F$4-$B64))</f>
        <v>0</v>
      </c>
      <c r="G64" s="27" t="n">
        <f aca="false">IF(G$4&lt;$B64,0,INDEX($D$10:$U$10,$B64)*(1-Assumptions!$E$18)^(G$4-$B64))</f>
        <v>0</v>
      </c>
      <c r="H64" s="27" t="n">
        <f aca="false">IF(H$4&lt;$B64,0,INDEX($D$10:$U$10,$B64)*(1-Assumptions!$E$18)^(H$4-$B64))</f>
        <v>0</v>
      </c>
      <c r="I64" s="27" t="n">
        <f aca="false">IF(I$4&lt;$B64,0,INDEX($D$10:$U$10,$B64)*(1-Assumptions!$E$18)^(I$4-$B64))</f>
        <v>0</v>
      </c>
      <c r="J64" s="27" t="n">
        <f aca="false">IF(J$4&lt;$B64,0,INDEX($D$10:$U$10,$B64)*(1-Assumptions!$E$18)^(J$4-$B64))</f>
        <v>0</v>
      </c>
      <c r="K64" s="27" t="n">
        <f aca="false">IF(K$4&lt;$B64,0,INDEX($D$10:$U$10,$B64)*(1-Assumptions!$E$18)^(K$4-$B64))</f>
        <v>0</v>
      </c>
      <c r="L64" s="27" t="n">
        <f aca="false">IF(L$4&lt;$B64,0,INDEX($D$10:$U$10,$B64)*(1-Assumptions!$E$18)^(L$4-$B64))</f>
        <v>0</v>
      </c>
      <c r="M64" s="27" t="n">
        <f aca="false">IF(M$4&lt;$B64,0,INDEX($D$10:$U$10,$B64)*(1-Assumptions!$E$18)^(M$4-$B64))</f>
        <v>0</v>
      </c>
      <c r="N64" s="27" t="n">
        <f aca="false">IF(N$4&lt;$B64,0,INDEX($D$10:$U$10,$B64)*(1-Assumptions!$E$18)^(N$4-$B64))</f>
        <v>0</v>
      </c>
      <c r="O64" s="27" t="n">
        <f aca="false">IF(O$4&lt;$B64,0,INDEX($D$10:$U$10,$B64)*(1-Assumptions!$E$18)^(O$4-$B64))</f>
        <v>0</v>
      </c>
      <c r="P64" s="27" t="n">
        <f aca="false">IF(P$4&lt;$B64,0,INDEX($D$10:$U$10,$B64)*(1-Assumptions!$E$18)^(P$4-$B64))</f>
        <v>0</v>
      </c>
      <c r="Q64" s="27" t="n">
        <f aca="false">IF(Q$4&lt;$B64,0,INDEX($D$10:$U$10,$B64)*(1-Assumptions!$E$18)^(Q$4-$B64))</f>
        <v>0</v>
      </c>
      <c r="R64" s="27" t="n">
        <f aca="false">IF(R$4&lt;$B64,0,INDEX($D$10:$U$10,$B64)*(1-Assumptions!$E$18)^(R$4-$B64))</f>
        <v>0</v>
      </c>
      <c r="S64" s="27" t="n">
        <f aca="false">IF(S$4&lt;$B64,0,INDEX($D$10:$U$10,$B64)*(1-Assumptions!$E$18)^(S$4-$B64))</f>
        <v>21875</v>
      </c>
      <c r="T64" s="27" t="n">
        <f aca="false">IF(T$4&lt;$B64,0,INDEX($D$10:$U$10,$B64)*(1-Assumptions!$E$18)^(T$4-$B64))</f>
        <v>20781.25</v>
      </c>
      <c r="U64" s="27" t="n">
        <f aca="false">IF(U$4&lt;$B64,0,INDEX($D$10:$U$10,$B64)*(1-Assumptions!$E$18)^(U$4-$B64))</f>
        <v>19742.1875</v>
      </c>
    </row>
    <row r="65" customFormat="false" ht="15" hidden="false" customHeight="false" outlineLevel="0" collapsed="false">
      <c r="A65" s="2" t="s">
        <v>282</v>
      </c>
      <c r="B65" s="15" t="n">
        <v>17</v>
      </c>
      <c r="D65" s="27" t="n">
        <f aca="false">IF(D$4&lt;$B65,0,INDEX($D$10:$U$10,$B65)*(1-Assumptions!$E$18)^(D$4-$B65))</f>
        <v>0</v>
      </c>
      <c r="E65" s="27" t="n">
        <f aca="false">IF(E$4&lt;$B65,0,INDEX($D$10:$U$10,$B65)*(1-Assumptions!$E$18)^(E$4-$B65))</f>
        <v>0</v>
      </c>
      <c r="F65" s="27" t="n">
        <f aca="false">IF(F$4&lt;$B65,0,INDEX($D$10:$U$10,$B65)*(1-Assumptions!$E$18)^(F$4-$B65))</f>
        <v>0</v>
      </c>
      <c r="G65" s="27" t="n">
        <f aca="false">IF(G$4&lt;$B65,0,INDEX($D$10:$U$10,$B65)*(1-Assumptions!$E$18)^(G$4-$B65))</f>
        <v>0</v>
      </c>
      <c r="H65" s="27" t="n">
        <f aca="false">IF(H$4&lt;$B65,0,INDEX($D$10:$U$10,$B65)*(1-Assumptions!$E$18)^(H$4-$B65))</f>
        <v>0</v>
      </c>
      <c r="I65" s="27" t="n">
        <f aca="false">IF(I$4&lt;$B65,0,INDEX($D$10:$U$10,$B65)*(1-Assumptions!$E$18)^(I$4-$B65))</f>
        <v>0</v>
      </c>
      <c r="J65" s="27" t="n">
        <f aca="false">IF(J$4&lt;$B65,0,INDEX($D$10:$U$10,$B65)*(1-Assumptions!$E$18)^(J$4-$B65))</f>
        <v>0</v>
      </c>
      <c r="K65" s="27" t="n">
        <f aca="false">IF(K$4&lt;$B65,0,INDEX($D$10:$U$10,$B65)*(1-Assumptions!$E$18)^(K$4-$B65))</f>
        <v>0</v>
      </c>
      <c r="L65" s="27" t="n">
        <f aca="false">IF(L$4&lt;$B65,0,INDEX($D$10:$U$10,$B65)*(1-Assumptions!$E$18)^(L$4-$B65))</f>
        <v>0</v>
      </c>
      <c r="M65" s="27" t="n">
        <f aca="false">IF(M$4&lt;$B65,0,INDEX($D$10:$U$10,$B65)*(1-Assumptions!$E$18)^(M$4-$B65))</f>
        <v>0</v>
      </c>
      <c r="N65" s="27" t="n">
        <f aca="false">IF(N$4&lt;$B65,0,INDEX($D$10:$U$10,$B65)*(1-Assumptions!$E$18)^(N$4-$B65))</f>
        <v>0</v>
      </c>
      <c r="O65" s="27" t="n">
        <f aca="false">IF(O$4&lt;$B65,0,INDEX($D$10:$U$10,$B65)*(1-Assumptions!$E$18)^(O$4-$B65))</f>
        <v>0</v>
      </c>
      <c r="P65" s="27" t="n">
        <f aca="false">IF(P$4&lt;$B65,0,INDEX($D$10:$U$10,$B65)*(1-Assumptions!$E$18)^(P$4-$B65))</f>
        <v>0</v>
      </c>
      <c r="Q65" s="27" t="n">
        <f aca="false">IF(Q$4&lt;$B65,0,INDEX($D$10:$U$10,$B65)*(1-Assumptions!$E$18)^(Q$4-$B65))</f>
        <v>0</v>
      </c>
      <c r="R65" s="27" t="n">
        <f aca="false">IF(R$4&lt;$B65,0,INDEX($D$10:$U$10,$B65)*(1-Assumptions!$E$18)^(R$4-$B65))</f>
        <v>0</v>
      </c>
      <c r="S65" s="27" t="n">
        <f aca="false">IF(S$4&lt;$B65,0,INDEX($D$10:$U$10,$B65)*(1-Assumptions!$E$18)^(S$4-$B65))</f>
        <v>0</v>
      </c>
      <c r="T65" s="27" t="n">
        <f aca="false">IF(T$4&lt;$B65,0,INDEX($D$10:$U$10,$B65)*(1-Assumptions!$E$18)^(T$4-$B65))</f>
        <v>17500</v>
      </c>
      <c r="U65" s="27" t="n">
        <f aca="false">IF(U$4&lt;$B65,0,INDEX($D$10:$U$10,$B65)*(1-Assumptions!$E$18)^(U$4-$B65))</f>
        <v>16625</v>
      </c>
    </row>
    <row r="66" customFormat="false" ht="15" hidden="false" customHeight="false" outlineLevel="0" collapsed="false">
      <c r="A66" s="2" t="s">
        <v>283</v>
      </c>
      <c r="B66" s="15" t="n">
        <v>18</v>
      </c>
      <c r="D66" s="27" t="n">
        <f aca="false">IF(D$4&lt;$B66,0,INDEX($D$10:$U$10,$B66)*(1-Assumptions!$E$18)^(D$4-$B66))</f>
        <v>0</v>
      </c>
      <c r="E66" s="27" t="n">
        <f aca="false">IF(E$4&lt;$B66,0,INDEX($D$10:$U$10,$B66)*(1-Assumptions!$E$18)^(E$4-$B66))</f>
        <v>0</v>
      </c>
      <c r="F66" s="27" t="n">
        <f aca="false">IF(F$4&lt;$B66,0,INDEX($D$10:$U$10,$B66)*(1-Assumptions!$E$18)^(F$4-$B66))</f>
        <v>0</v>
      </c>
      <c r="G66" s="27" t="n">
        <f aca="false">IF(G$4&lt;$B66,0,INDEX($D$10:$U$10,$B66)*(1-Assumptions!$E$18)^(G$4-$B66))</f>
        <v>0</v>
      </c>
      <c r="H66" s="27" t="n">
        <f aca="false">IF(H$4&lt;$B66,0,INDEX($D$10:$U$10,$B66)*(1-Assumptions!$E$18)^(H$4-$B66))</f>
        <v>0</v>
      </c>
      <c r="I66" s="27" t="n">
        <f aca="false">IF(I$4&lt;$B66,0,INDEX($D$10:$U$10,$B66)*(1-Assumptions!$E$18)^(I$4-$B66))</f>
        <v>0</v>
      </c>
      <c r="J66" s="27" t="n">
        <f aca="false">IF(J$4&lt;$B66,0,INDEX($D$10:$U$10,$B66)*(1-Assumptions!$E$18)^(J$4-$B66))</f>
        <v>0</v>
      </c>
      <c r="K66" s="27" t="n">
        <f aca="false">IF(K$4&lt;$B66,0,INDEX($D$10:$U$10,$B66)*(1-Assumptions!$E$18)^(K$4-$B66))</f>
        <v>0</v>
      </c>
      <c r="L66" s="27" t="n">
        <f aca="false">IF(L$4&lt;$B66,0,INDEX($D$10:$U$10,$B66)*(1-Assumptions!$E$18)^(L$4-$B66))</f>
        <v>0</v>
      </c>
      <c r="M66" s="27" t="n">
        <f aca="false">IF(M$4&lt;$B66,0,INDEX($D$10:$U$10,$B66)*(1-Assumptions!$E$18)^(M$4-$B66))</f>
        <v>0</v>
      </c>
      <c r="N66" s="27" t="n">
        <f aca="false">IF(N$4&lt;$B66,0,INDEX($D$10:$U$10,$B66)*(1-Assumptions!$E$18)^(N$4-$B66))</f>
        <v>0</v>
      </c>
      <c r="O66" s="27" t="n">
        <f aca="false">IF(O$4&lt;$B66,0,INDEX($D$10:$U$10,$B66)*(1-Assumptions!$E$18)^(O$4-$B66))</f>
        <v>0</v>
      </c>
      <c r="P66" s="27" t="n">
        <f aca="false">IF(P$4&lt;$B66,0,INDEX($D$10:$U$10,$B66)*(1-Assumptions!$E$18)^(P$4-$B66))</f>
        <v>0</v>
      </c>
      <c r="Q66" s="27" t="n">
        <f aca="false">IF(Q$4&lt;$B66,0,INDEX($D$10:$U$10,$B66)*(1-Assumptions!$E$18)^(Q$4-$B66))</f>
        <v>0</v>
      </c>
      <c r="R66" s="27" t="n">
        <f aca="false">IF(R$4&lt;$B66,0,INDEX($D$10:$U$10,$B66)*(1-Assumptions!$E$18)^(R$4-$B66))</f>
        <v>0</v>
      </c>
      <c r="S66" s="27" t="n">
        <f aca="false">IF(S$4&lt;$B66,0,INDEX($D$10:$U$10,$B66)*(1-Assumptions!$E$18)^(S$4-$B66))</f>
        <v>0</v>
      </c>
      <c r="T66" s="27" t="n">
        <f aca="false">IF(T$4&lt;$B66,0,INDEX($D$10:$U$10,$B66)*(1-Assumptions!$E$18)^(T$4-$B66))</f>
        <v>0</v>
      </c>
      <c r="U66" s="27" t="n">
        <f aca="false">IF(U$4&lt;$B66,0,INDEX($D$10:$U$10,$B66)*(1-Assumptions!$E$18)^(U$4-$B66))</f>
        <v>17500</v>
      </c>
    </row>
    <row r="69" customFormat="false" ht="15" hidden="false" customHeight="false" outlineLevel="0" collapsed="false">
      <c r="A69" s="6" t="s">
        <v>284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customFormat="false" ht="15" hidden="false" customHeight="false" outlineLevel="0" collapsed="false">
      <c r="A70" s="5" t="s">
        <v>264</v>
      </c>
      <c r="B70" s="5" t="s">
        <v>265</v>
      </c>
      <c r="C70" s="5"/>
      <c r="D70" s="5" t="s">
        <v>195</v>
      </c>
      <c r="E70" s="5" t="s">
        <v>196</v>
      </c>
      <c r="F70" s="5" t="s">
        <v>197</v>
      </c>
      <c r="G70" s="5" t="s">
        <v>198</v>
      </c>
      <c r="H70" s="5" t="s">
        <v>199</v>
      </c>
      <c r="I70" s="5" t="s">
        <v>200</v>
      </c>
      <c r="J70" s="5" t="s">
        <v>201</v>
      </c>
      <c r="K70" s="5" t="s">
        <v>202</v>
      </c>
      <c r="L70" s="5" t="s">
        <v>203</v>
      </c>
      <c r="M70" s="5" t="s">
        <v>204</v>
      </c>
      <c r="N70" s="5" t="s">
        <v>205</v>
      </c>
      <c r="O70" s="5" t="s">
        <v>206</v>
      </c>
      <c r="P70" s="5" t="s">
        <v>207</v>
      </c>
      <c r="Q70" s="5" t="s">
        <v>208</v>
      </c>
      <c r="R70" s="5" t="s">
        <v>209</v>
      </c>
      <c r="S70" s="5" t="s">
        <v>210</v>
      </c>
      <c r="T70" s="5" t="s">
        <v>211</v>
      </c>
      <c r="U70" s="5" t="s">
        <v>212</v>
      </c>
    </row>
    <row r="71" customFormat="false" ht="15" hidden="false" customHeight="false" outlineLevel="0" collapsed="false">
      <c r="A71" s="2" t="s">
        <v>266</v>
      </c>
      <c r="B71" s="15" t="n">
        <v>1</v>
      </c>
      <c r="D71" s="12" t="n">
        <f aca="false">IF(OR(D$4&lt;Assumptions!$E$32,D$4&lt;$B71),0,D49*IF(D$4&gt;=Assumptions!$E$33,INDEX($D$94:$D$111,D$4-MAX($B71,Assumptions!$E$32)+1),INDEX($C$94:$C$111,D$4-MAX($B71,Assumptions!$E$32)+1)))</f>
        <v>0</v>
      </c>
      <c r="E71" s="12" t="n">
        <f aca="false">IF(OR(E$4&lt;Assumptions!$E$32,E$4&lt;$B71),0,E49*IF(E$4&gt;=Assumptions!$E$33,INDEX($D$94:$D$111,E$4-MAX($B71,Assumptions!$E$32)+1),INDEX($C$94:$C$111,E$4-MAX($B71,Assumptions!$E$32)+1)))</f>
        <v>0</v>
      </c>
      <c r="F71" s="12" t="n">
        <f aca="false">IF(OR(F$4&lt;Assumptions!$E$32,F$4&lt;$B71),0,F49*IF(F$4&gt;=Assumptions!$E$33,INDEX($D$94:$D$111,F$4-MAX($B71,Assumptions!$E$32)+1),INDEX($C$94:$C$111,F$4-MAX($B71,Assumptions!$E$32)+1)))</f>
        <v>0</v>
      </c>
      <c r="G71" s="12" t="n">
        <f aca="false">IF(OR(G$4&lt;Assumptions!$E$32,G$4&lt;$B71),0,G49*IF(G$4&gt;=Assumptions!$E$33,INDEX($D$94:$D$111,G$4-MAX($B71,Assumptions!$E$32)+1),INDEX($C$94:$C$111,G$4-MAX($B71,Assumptions!$E$32)+1)))</f>
        <v>3.0008125</v>
      </c>
      <c r="H71" s="12" t="n">
        <f aca="false">IF(OR(H$4&lt;Assumptions!$E$32,H$4&lt;$B71),0,H49*IF(H$4&gt;=Assumptions!$E$33,INDEX($D$94:$D$111,H$4-MAX($B71,Assumptions!$E$32)+1),INDEX($C$94:$C$111,H$4-MAX($B71,Assumptions!$E$32)+1)))</f>
        <v>5.70154375</v>
      </c>
      <c r="I71" s="12" t="n">
        <f aca="false">IF(OR(I$4&lt;Assumptions!$E$32,I$4&lt;$B71),0,I49*IF(I$4&gt;=Assumptions!$E$33,INDEX($D$94:$D$111,I$4-MAX($B71,Assumptions!$E$32)+1),INDEX($C$94:$C$111,I$4-MAX($B71,Assumptions!$E$32)+1)))</f>
        <v>8.12469984375</v>
      </c>
      <c r="J71" s="12" t="n">
        <f aca="false">IF(OR(J$4&lt;Assumptions!$E$32,J$4&lt;$B71),0,J49*IF(J$4&gt;=Assumptions!$E$33,INDEX($D$94:$D$111,J$4-MAX($B71,Assumptions!$E$32)+1),INDEX($C$94:$C$111,J$4-MAX($B71,Assumptions!$E$32)+1)))</f>
        <v>12.8641080859375</v>
      </c>
      <c r="K71" s="12" t="n">
        <f aca="false">IF(OR(K$4&lt;Assumptions!$E$32,K$4&lt;$B71),0,K49*IF(K$4&gt;=Assumptions!$E$33,INDEX($D$94:$D$111,K$4-MAX($B71,Assumptions!$E$32)+1),INDEX($C$94:$C$111,K$4-MAX($B71,Assumptions!$E$32)+1)))</f>
        <v>12.9541568425391</v>
      </c>
      <c r="L71" s="12" t="n">
        <f aca="false">IF(OR(L$4&lt;Assumptions!$E$32,L$4&lt;$B71),0,L49*IF(L$4&gt;=Assumptions!$E$33,INDEX($D$94:$D$111,L$4-MAX($B71,Assumptions!$E$32)+1),INDEX($C$94:$C$111,L$4-MAX($B71,Assumptions!$E$32)+1)))</f>
        <v>12.3064490004121</v>
      </c>
      <c r="M71" s="12" t="n">
        <f aca="false">IF(OR(M$4&lt;Assumptions!$E$32,M$4&lt;$B71),0,M49*IF(M$4&gt;=Assumptions!$E$33,INDEX($D$94:$D$111,M$4-MAX($B71,Assumptions!$E$32)+1),INDEX($C$94:$C$111,M$4-MAX($B71,Assumptions!$E$32)+1)))</f>
        <v>11.6911265503915</v>
      </c>
      <c r="N71" s="12" t="n">
        <f aca="false">IF(OR(N$4&lt;Assumptions!$E$32,N$4&lt;$B71),0,N49*IF(N$4&gt;=Assumptions!$E$33,INDEX($D$94:$D$111,N$4-MAX($B71,Assumptions!$E$32)+1),INDEX($C$94:$C$111,N$4-MAX($B71,Assumptions!$E$32)+1)))</f>
        <v>12.3639177952725</v>
      </c>
      <c r="O71" s="12" t="n">
        <f aca="false">IF(OR(O$4&lt;Assumptions!$E$32,O$4&lt;$B71),0,O49*IF(O$4&gt;=Assumptions!$E$33,INDEX($D$94:$D$111,O$4-MAX($B71,Assumptions!$E$32)+1),INDEX($C$94:$C$111,O$4-MAX($B71,Assumptions!$E$32)+1)))</f>
        <v>11.7457219055089</v>
      </c>
      <c r="P71" s="12" t="n">
        <f aca="false">IF(OR(P$4&lt;Assumptions!$E$32,P$4&lt;$B71),0,P49*IF(P$4&gt;=Assumptions!$E$33,INDEX($D$94:$D$111,P$4-MAX($B71,Assumptions!$E$32)+1),INDEX($C$94:$C$111,P$4-MAX($B71,Assumptions!$E$32)+1)))</f>
        <v>11.1584358102334</v>
      </c>
      <c r="Q71" s="12" t="n">
        <f aca="false">IF(OR(Q$4&lt;Assumptions!$E$32,Q$4&lt;$B71),0,Q49*IF(Q$4&gt;=Assumptions!$E$33,INDEX($D$94:$D$111,Q$4-MAX($B71,Assumptions!$E$32)+1),INDEX($C$94:$C$111,Q$4-MAX($B71,Assumptions!$E$32)+1)))</f>
        <v>10.6005140197218</v>
      </c>
      <c r="R71" s="12" t="n">
        <f aca="false">IF(OR(R$4&lt;Assumptions!$E$32,R$4&lt;$B71),0,R49*IF(R$4&gt;=Assumptions!$E$33,INDEX($D$94:$D$111,R$4-MAX($B71,Assumptions!$E$32)+1),INDEX($C$94:$C$111,R$4-MAX($B71,Assumptions!$E$32)+1)))</f>
        <v>10.0704883187357</v>
      </c>
      <c r="S71" s="12" t="n">
        <f aca="false">IF(OR(S$4&lt;Assumptions!$E$32,S$4&lt;$B71),0,S49*IF(S$4&gt;=Assumptions!$E$33,INDEX($D$94:$D$111,S$4-MAX($B71,Assumptions!$E$32)+1),INDEX($C$94:$C$111,S$4-MAX($B71,Assumptions!$E$32)+1)))</f>
        <v>9.5669639027989</v>
      </c>
      <c r="T71" s="12" t="n">
        <f aca="false">IF(OR(T$4&lt;Assumptions!$E$32,T$4&lt;$B71),0,T49*IF(T$4&gt;=Assumptions!$E$33,INDEX($D$94:$D$111,T$4-MAX($B71,Assumptions!$E$32)+1),INDEX($C$94:$C$111,T$4-MAX($B71,Assumptions!$E$32)+1)))</f>
        <v>9.08861570765895</v>
      </c>
      <c r="U71" s="12" t="n">
        <f aca="false">IF(OR(U$4&lt;Assumptions!$E$32,U$4&lt;$B71),0,U49*IF(U$4&gt;=Assumptions!$E$33,INDEX($D$94:$D$111,U$4-MAX($B71,Assumptions!$E$32)+1),INDEX($C$94:$C$111,U$4-MAX($B71,Assumptions!$E$32)+1)))</f>
        <v>8.63418492227601</v>
      </c>
    </row>
    <row r="72" customFormat="false" ht="15" hidden="false" customHeight="false" outlineLevel="0" collapsed="false">
      <c r="A72" s="2" t="s">
        <v>267</v>
      </c>
      <c r="B72" s="15" t="n">
        <v>2</v>
      </c>
      <c r="D72" s="12" t="n">
        <f aca="false">IF(OR(D$4&lt;Assumptions!$E$32,D$4&lt;$B72),0,D50*IF(D$4&gt;=Assumptions!$E$33,INDEX($D$94:$D$111,D$4-MAX($B72,Assumptions!$E$32)+1),INDEX($C$94:$C$111,D$4-MAX($B72,Assumptions!$E$32)+1)))</f>
        <v>0</v>
      </c>
      <c r="E72" s="12" t="n">
        <f aca="false">IF(OR(E$4&lt;Assumptions!$E$32,E$4&lt;$B72),0,E50*IF(E$4&gt;=Assumptions!$E$33,INDEX($D$94:$D$111,E$4-MAX($B72,Assumptions!$E$32)+1),INDEX($C$94:$C$111,E$4-MAX($B72,Assumptions!$E$32)+1)))</f>
        <v>0</v>
      </c>
      <c r="F72" s="12" t="n">
        <f aca="false">IF(OR(F$4&lt;Assumptions!$E$32,F$4&lt;$B72),0,F50*IF(F$4&gt;=Assumptions!$E$33,INDEX($D$94:$D$111,F$4-MAX($B72,Assumptions!$E$32)+1),INDEX($C$94:$C$111,F$4-MAX($B72,Assumptions!$E$32)+1)))</f>
        <v>0</v>
      </c>
      <c r="G72" s="12" t="n">
        <f aca="false">IF(OR(G$4&lt;Assumptions!$E$32,G$4&lt;$B72),0,G50*IF(G$4&gt;=Assumptions!$E$33,INDEX($D$94:$D$111,G$4-MAX($B72,Assumptions!$E$32)+1),INDEX($C$94:$C$111,G$4-MAX($B72,Assumptions!$E$32)+1)))</f>
        <v>4.738125</v>
      </c>
      <c r="H72" s="12" t="n">
        <f aca="false">IF(OR(H$4&lt;Assumptions!$E$32,H$4&lt;$B72),0,H50*IF(H$4&gt;=Assumptions!$E$33,INDEX($D$94:$D$111,H$4-MAX($B72,Assumptions!$E$32)+1),INDEX($C$94:$C$111,H$4-MAX($B72,Assumptions!$E$32)+1)))</f>
        <v>9.0024375</v>
      </c>
      <c r="I72" s="12" t="n">
        <f aca="false">IF(OR(I$4&lt;Assumptions!$E$32,I$4&lt;$B72),0,I50*IF(I$4&gt;=Assumptions!$E$33,INDEX($D$94:$D$111,I$4-MAX($B72,Assumptions!$E$32)+1),INDEX($C$94:$C$111,I$4-MAX($B72,Assumptions!$E$32)+1)))</f>
        <v>12.8284734375</v>
      </c>
      <c r="J72" s="12" t="n">
        <f aca="false">IF(OR(J$4&lt;Assumptions!$E$32,J$4&lt;$B72),0,J50*IF(J$4&gt;=Assumptions!$E$33,INDEX($D$94:$D$111,J$4-MAX($B72,Assumptions!$E$32)+1),INDEX($C$94:$C$111,J$4-MAX($B72,Assumptions!$E$32)+1)))</f>
        <v>20.311749609375</v>
      </c>
      <c r="K72" s="12" t="n">
        <f aca="false">IF(OR(K$4&lt;Assumptions!$E$32,K$4&lt;$B72),0,K50*IF(K$4&gt;=Assumptions!$E$33,INDEX($D$94:$D$111,K$4-MAX($B72,Assumptions!$E$32)+1),INDEX($C$94:$C$111,K$4-MAX($B72,Assumptions!$E$32)+1)))</f>
        <v>20.4539318566406</v>
      </c>
      <c r="L72" s="12" t="n">
        <f aca="false">IF(OR(L$4&lt;Assumptions!$E$32,L$4&lt;$B72),0,L50*IF(L$4&gt;=Assumptions!$E$33,INDEX($D$94:$D$111,L$4-MAX($B72,Assumptions!$E$32)+1),INDEX($C$94:$C$111,L$4-MAX($B72,Assumptions!$E$32)+1)))</f>
        <v>19.4312352638086</v>
      </c>
      <c r="M72" s="12" t="n">
        <f aca="false">IF(OR(M$4&lt;Assumptions!$E$32,M$4&lt;$B72),0,M50*IF(M$4&gt;=Assumptions!$E$33,INDEX($D$94:$D$111,M$4-MAX($B72,Assumptions!$E$32)+1),INDEX($C$94:$C$111,M$4-MAX($B72,Assumptions!$E$32)+1)))</f>
        <v>18.4596735006182</v>
      </c>
      <c r="N72" s="12" t="n">
        <f aca="false">IF(OR(N$4&lt;Assumptions!$E$32,N$4&lt;$B72),0,N50*IF(N$4&gt;=Assumptions!$E$33,INDEX($D$94:$D$111,N$4-MAX($B72,Assumptions!$E$32)+1),INDEX($C$94:$C$111,N$4-MAX($B72,Assumptions!$E$32)+1)))</f>
        <v>19.5219754662198</v>
      </c>
      <c r="O72" s="12" t="n">
        <f aca="false">IF(OR(O$4&lt;Assumptions!$E$32,O$4&lt;$B72),0,O50*IF(O$4&gt;=Assumptions!$E$33,INDEX($D$94:$D$111,O$4-MAX($B72,Assumptions!$E$32)+1),INDEX($C$94:$C$111,O$4-MAX($B72,Assumptions!$E$32)+1)))</f>
        <v>18.5458766929088</v>
      </c>
      <c r="P72" s="12" t="n">
        <f aca="false">IF(OR(P$4&lt;Assumptions!$E$32,P$4&lt;$B72),0,P50*IF(P$4&gt;=Assumptions!$E$33,INDEX($D$94:$D$111,P$4-MAX($B72,Assumptions!$E$32)+1),INDEX($C$94:$C$111,P$4-MAX($B72,Assumptions!$E$32)+1)))</f>
        <v>17.6185828582633</v>
      </c>
      <c r="Q72" s="12" t="n">
        <f aca="false">IF(OR(Q$4&lt;Assumptions!$E$32,Q$4&lt;$B72),0,Q50*IF(Q$4&gt;=Assumptions!$E$33,INDEX($D$94:$D$111,Q$4-MAX($B72,Assumptions!$E$32)+1),INDEX($C$94:$C$111,Q$4-MAX($B72,Assumptions!$E$32)+1)))</f>
        <v>16.7376537153502</v>
      </c>
      <c r="R72" s="12" t="n">
        <f aca="false">IF(OR(R$4&lt;Assumptions!$E$32,R$4&lt;$B72),0,R50*IF(R$4&gt;=Assumptions!$E$33,INDEX($D$94:$D$111,R$4-MAX($B72,Assumptions!$E$32)+1),INDEX($C$94:$C$111,R$4-MAX($B72,Assumptions!$E$32)+1)))</f>
        <v>15.9007710295827</v>
      </c>
      <c r="S72" s="12" t="n">
        <f aca="false">IF(OR(S$4&lt;Assumptions!$E$32,S$4&lt;$B72),0,S50*IF(S$4&gt;=Assumptions!$E$33,INDEX($D$94:$D$111,S$4-MAX($B72,Assumptions!$E$32)+1),INDEX($C$94:$C$111,S$4-MAX($B72,Assumptions!$E$32)+1)))</f>
        <v>15.1057324781035</v>
      </c>
      <c r="T72" s="12" t="n">
        <f aca="false">IF(OR(T$4&lt;Assumptions!$E$32,T$4&lt;$B72),0,T50*IF(T$4&gt;=Assumptions!$E$33,INDEX($D$94:$D$111,T$4-MAX($B72,Assumptions!$E$32)+1),INDEX($C$94:$C$111,T$4-MAX($B72,Assumptions!$E$32)+1)))</f>
        <v>14.3504458541983</v>
      </c>
      <c r="U72" s="12" t="n">
        <f aca="false">IF(OR(U$4&lt;Assumptions!$E$32,U$4&lt;$B72),0,U50*IF(U$4&gt;=Assumptions!$E$33,INDEX($D$94:$D$111,U$4-MAX($B72,Assumptions!$E$32)+1),INDEX($C$94:$C$111,U$4-MAX($B72,Assumptions!$E$32)+1)))</f>
        <v>13.6329235614884</v>
      </c>
    </row>
    <row r="73" customFormat="false" ht="15" hidden="false" customHeight="false" outlineLevel="0" collapsed="false">
      <c r="A73" s="2" t="s">
        <v>268</v>
      </c>
      <c r="B73" s="15" t="n">
        <v>3</v>
      </c>
      <c r="D73" s="12" t="n">
        <f aca="false">IF(OR(D$4&lt;Assumptions!$E$32,D$4&lt;$B73),0,D51*IF(D$4&gt;=Assumptions!$E$33,INDEX($D$94:$D$111,D$4-MAX($B73,Assumptions!$E$32)+1),INDEX($C$94:$C$111,D$4-MAX($B73,Assumptions!$E$32)+1)))</f>
        <v>0</v>
      </c>
      <c r="E73" s="12" t="n">
        <f aca="false">IF(OR(E$4&lt;Assumptions!$E$32,E$4&lt;$B73),0,E51*IF(E$4&gt;=Assumptions!$E$33,INDEX($D$94:$D$111,E$4-MAX($B73,Assumptions!$E$32)+1),INDEX($C$94:$C$111,E$4-MAX($B73,Assumptions!$E$32)+1)))</f>
        <v>0</v>
      </c>
      <c r="F73" s="12" t="n">
        <f aca="false">IF(OR(F$4&lt;Assumptions!$E$32,F$4&lt;$B73),0,F51*IF(F$4&gt;=Assumptions!$E$33,INDEX($D$94:$D$111,F$4-MAX($B73,Assumptions!$E$32)+1),INDEX($C$94:$C$111,F$4-MAX($B73,Assumptions!$E$32)+1)))</f>
        <v>0</v>
      </c>
      <c r="G73" s="12" t="n">
        <f aca="false">IF(OR(G$4&lt;Assumptions!$E$32,G$4&lt;$B73),0,G51*IF(G$4&gt;=Assumptions!$E$33,INDEX($D$94:$D$111,G$4-MAX($B73,Assumptions!$E$32)+1),INDEX($C$94:$C$111,G$4-MAX($B73,Assumptions!$E$32)+1)))</f>
        <v>6.65</v>
      </c>
      <c r="H73" s="12" t="n">
        <f aca="false">IF(OR(H$4&lt;Assumptions!$E$32,H$4&lt;$B73),0,H51*IF(H$4&gt;=Assumptions!$E$33,INDEX($D$94:$D$111,H$4-MAX($B73,Assumptions!$E$32)+1),INDEX($C$94:$C$111,H$4-MAX($B73,Assumptions!$E$32)+1)))</f>
        <v>12.635</v>
      </c>
      <c r="I73" s="12" t="n">
        <f aca="false">IF(OR(I$4&lt;Assumptions!$E$32,I$4&lt;$B73),0,I51*IF(I$4&gt;=Assumptions!$E$33,INDEX($D$94:$D$111,I$4-MAX($B73,Assumptions!$E$32)+1),INDEX($C$94:$C$111,I$4-MAX($B73,Assumptions!$E$32)+1)))</f>
        <v>18.004875</v>
      </c>
      <c r="J73" s="12" t="n">
        <f aca="false">IF(OR(J$4&lt;Assumptions!$E$32,J$4&lt;$B73),0,J51*IF(J$4&gt;=Assumptions!$E$33,INDEX($D$94:$D$111,J$4-MAX($B73,Assumptions!$E$32)+1),INDEX($C$94:$C$111,J$4-MAX($B73,Assumptions!$E$32)+1)))</f>
        <v>28.50771875</v>
      </c>
      <c r="K73" s="12" t="n">
        <f aca="false">IF(OR(K$4&lt;Assumptions!$E$32,K$4&lt;$B73),0,K51*IF(K$4&gt;=Assumptions!$E$33,INDEX($D$94:$D$111,K$4-MAX($B73,Assumptions!$E$32)+1),INDEX($C$94:$C$111,K$4-MAX($B73,Assumptions!$E$32)+1)))</f>
        <v>28.70727278125</v>
      </c>
      <c r="L73" s="12" t="n">
        <f aca="false">IF(OR(L$4&lt;Assumptions!$E$32,L$4&lt;$B73),0,L51*IF(L$4&gt;=Assumptions!$E$33,INDEX($D$94:$D$111,L$4-MAX($B73,Assumptions!$E$32)+1),INDEX($C$94:$C$111,L$4-MAX($B73,Assumptions!$E$32)+1)))</f>
        <v>27.2719091421875</v>
      </c>
      <c r="M73" s="12" t="n">
        <f aca="false">IF(OR(M$4&lt;Assumptions!$E$32,M$4&lt;$B73),0,M51*IF(M$4&gt;=Assumptions!$E$33,INDEX($D$94:$D$111,M$4-MAX($B73,Assumptions!$E$32)+1),INDEX($C$94:$C$111,M$4-MAX($B73,Assumptions!$E$32)+1)))</f>
        <v>25.9083136850781</v>
      </c>
      <c r="N73" s="12" t="n">
        <f aca="false">IF(OR(N$4&lt;Assumptions!$E$32,N$4&lt;$B73),0,N51*IF(N$4&gt;=Assumptions!$E$33,INDEX($D$94:$D$111,N$4-MAX($B73,Assumptions!$E$32)+1),INDEX($C$94:$C$111,N$4-MAX($B73,Assumptions!$E$32)+1)))</f>
        <v>27.3992638122383</v>
      </c>
      <c r="O73" s="12" t="n">
        <f aca="false">IF(OR(O$4&lt;Assumptions!$E$32,O$4&lt;$B73),0,O51*IF(O$4&gt;=Assumptions!$E$33,INDEX($D$94:$D$111,O$4-MAX($B73,Assumptions!$E$32)+1),INDEX($C$94:$C$111,O$4-MAX($B73,Assumptions!$E$32)+1)))</f>
        <v>26.0293006216264</v>
      </c>
      <c r="P73" s="12" t="n">
        <f aca="false">IF(OR(P$4&lt;Assumptions!$E$32,P$4&lt;$B73),0,P51*IF(P$4&gt;=Assumptions!$E$33,INDEX($D$94:$D$111,P$4-MAX($B73,Assumptions!$E$32)+1),INDEX($C$94:$C$111,P$4-MAX($B73,Assumptions!$E$32)+1)))</f>
        <v>24.727835590545</v>
      </c>
      <c r="Q73" s="12" t="n">
        <f aca="false">IF(OR(Q$4&lt;Assumptions!$E$32,Q$4&lt;$B73),0,Q51*IF(Q$4&gt;=Assumptions!$E$33,INDEX($D$94:$D$111,Q$4-MAX($B73,Assumptions!$E$32)+1),INDEX($C$94:$C$111,Q$4-MAX($B73,Assumptions!$E$32)+1)))</f>
        <v>23.4914438110178</v>
      </c>
      <c r="R73" s="12" t="n">
        <f aca="false">IF(OR(R$4&lt;Assumptions!$E$32,R$4&lt;$B73),0,R51*IF(R$4&gt;=Assumptions!$E$33,INDEX($D$94:$D$111,R$4-MAX($B73,Assumptions!$E$32)+1),INDEX($C$94:$C$111,R$4-MAX($B73,Assumptions!$E$32)+1)))</f>
        <v>22.3168716204669</v>
      </c>
      <c r="S73" s="12" t="n">
        <f aca="false">IF(OR(S$4&lt;Assumptions!$E$32,S$4&lt;$B73),0,S51*IF(S$4&gt;=Assumptions!$E$33,INDEX($D$94:$D$111,S$4-MAX($B73,Assumptions!$E$32)+1),INDEX($C$94:$C$111,S$4-MAX($B73,Assumptions!$E$32)+1)))</f>
        <v>21.2010280394435</v>
      </c>
      <c r="T73" s="12" t="n">
        <f aca="false">IF(OR(T$4&lt;Assumptions!$E$32,T$4&lt;$B73),0,T51*IF(T$4&gt;=Assumptions!$E$33,INDEX($D$94:$D$111,T$4-MAX($B73,Assumptions!$E$32)+1),INDEX($C$94:$C$111,T$4-MAX($B73,Assumptions!$E$32)+1)))</f>
        <v>20.1409766374714</v>
      </c>
      <c r="U73" s="12" t="n">
        <f aca="false">IF(OR(U$4&lt;Assumptions!$E$32,U$4&lt;$B73),0,U51*IF(U$4&gt;=Assumptions!$E$33,INDEX($D$94:$D$111,U$4-MAX($B73,Assumptions!$E$32)+1),INDEX($C$94:$C$111,U$4-MAX($B73,Assumptions!$E$32)+1)))</f>
        <v>19.1339278055978</v>
      </c>
    </row>
    <row r="74" customFormat="false" ht="15" hidden="false" customHeight="false" outlineLevel="0" collapsed="false">
      <c r="A74" s="2" t="s">
        <v>269</v>
      </c>
      <c r="B74" s="15" t="n">
        <v>4</v>
      </c>
      <c r="D74" s="12" t="n">
        <f aca="false">IF(OR(D$4&lt;Assumptions!$E$32,D$4&lt;$B74),0,D52*IF(D$4&gt;=Assumptions!$E$33,INDEX($D$94:$D$111,D$4-MAX($B74,Assumptions!$E$32)+1),INDEX($C$94:$C$111,D$4-MAX($B74,Assumptions!$E$32)+1)))</f>
        <v>0</v>
      </c>
      <c r="E74" s="12" t="n">
        <f aca="false">IF(OR(E$4&lt;Assumptions!$E$32,E$4&lt;$B74),0,E52*IF(E$4&gt;=Assumptions!$E$33,INDEX($D$94:$D$111,E$4-MAX($B74,Assumptions!$E$32)+1),INDEX($C$94:$C$111,E$4-MAX($B74,Assumptions!$E$32)+1)))</f>
        <v>0</v>
      </c>
      <c r="F74" s="12" t="n">
        <f aca="false">IF(OR(F$4&lt;Assumptions!$E$32,F$4&lt;$B74),0,F52*IF(F$4&gt;=Assumptions!$E$33,INDEX($D$94:$D$111,F$4-MAX($B74,Assumptions!$E$32)+1),INDEX($C$94:$C$111,F$4-MAX($B74,Assumptions!$E$32)+1)))</f>
        <v>0</v>
      </c>
      <c r="G74" s="12" t="n">
        <f aca="false">IF(OR(G$4&lt;Assumptions!$E$32,G$4&lt;$B74),0,G52*IF(G$4&gt;=Assumptions!$E$33,INDEX($D$94:$D$111,G$4-MAX($B74,Assumptions!$E$32)+1),INDEX($C$94:$C$111,G$4-MAX($B74,Assumptions!$E$32)+1)))</f>
        <v>8.75</v>
      </c>
      <c r="H74" s="12" t="n">
        <f aca="false">IF(OR(H$4&lt;Assumptions!$E$32,H$4&lt;$B74),0,H52*IF(H$4&gt;=Assumptions!$E$33,INDEX($D$94:$D$111,H$4-MAX($B74,Assumptions!$E$32)+1),INDEX($C$94:$C$111,H$4-MAX($B74,Assumptions!$E$32)+1)))</f>
        <v>16.625</v>
      </c>
      <c r="I74" s="12" t="n">
        <f aca="false">IF(OR(I$4&lt;Assumptions!$E$32,I$4&lt;$B74),0,I52*IF(I$4&gt;=Assumptions!$E$33,INDEX($D$94:$D$111,I$4-MAX($B74,Assumptions!$E$32)+1),INDEX($C$94:$C$111,I$4-MAX($B74,Assumptions!$E$32)+1)))</f>
        <v>23.690625</v>
      </c>
      <c r="J74" s="12" t="n">
        <f aca="false">IF(OR(J$4&lt;Assumptions!$E$32,J$4&lt;$B74),0,J52*IF(J$4&gt;=Assumptions!$E$33,INDEX($D$94:$D$111,J$4-MAX($B74,Assumptions!$E$32)+1),INDEX($C$94:$C$111,J$4-MAX($B74,Assumptions!$E$32)+1)))</f>
        <v>37.51015625</v>
      </c>
      <c r="K74" s="12" t="n">
        <f aca="false">IF(OR(K$4&lt;Assumptions!$E$32,K$4&lt;$B74),0,K52*IF(K$4&gt;=Assumptions!$E$33,INDEX($D$94:$D$111,K$4-MAX($B74,Assumptions!$E$32)+1),INDEX($C$94:$C$111,K$4-MAX($B74,Assumptions!$E$32)+1)))</f>
        <v>37.77272734375</v>
      </c>
      <c r="L74" s="12" t="n">
        <f aca="false">IF(OR(L$4&lt;Assumptions!$E$32,L$4&lt;$B74),0,L52*IF(L$4&gt;=Assumptions!$E$33,INDEX($D$94:$D$111,L$4-MAX($B74,Assumptions!$E$32)+1),INDEX($C$94:$C$111,L$4-MAX($B74,Assumptions!$E$32)+1)))</f>
        <v>35.8840909765625</v>
      </c>
      <c r="M74" s="12" t="n">
        <f aca="false">IF(OR(M$4&lt;Assumptions!$E$32,M$4&lt;$B74),0,M52*IF(M$4&gt;=Assumptions!$E$33,INDEX($D$94:$D$111,M$4-MAX($B74,Assumptions!$E$32)+1),INDEX($C$94:$C$111,M$4-MAX($B74,Assumptions!$E$32)+1)))</f>
        <v>34.0898864277344</v>
      </c>
      <c r="N74" s="12" t="n">
        <f aca="false">IF(OR(N$4&lt;Assumptions!$E$32,N$4&lt;$B74),0,N52*IF(N$4&gt;=Assumptions!$E$33,INDEX($D$94:$D$111,N$4-MAX($B74,Assumptions!$E$32)+1),INDEX($C$94:$C$111,N$4-MAX($B74,Assumptions!$E$32)+1)))</f>
        <v>36.0516629108398</v>
      </c>
      <c r="O74" s="12" t="n">
        <f aca="false">IF(OR(O$4&lt;Assumptions!$E$32,O$4&lt;$B74),0,O52*IF(O$4&gt;=Assumptions!$E$33,INDEX($D$94:$D$111,O$4-MAX($B74,Assumptions!$E$32)+1),INDEX($C$94:$C$111,O$4-MAX($B74,Assumptions!$E$32)+1)))</f>
        <v>34.2490797652978</v>
      </c>
      <c r="P74" s="12" t="n">
        <f aca="false">IF(OR(P$4&lt;Assumptions!$E$32,P$4&lt;$B74),0,P52*IF(P$4&gt;=Assumptions!$E$33,INDEX($D$94:$D$111,P$4-MAX($B74,Assumptions!$E$32)+1),INDEX($C$94:$C$111,P$4-MAX($B74,Assumptions!$E$32)+1)))</f>
        <v>32.5366257770329</v>
      </c>
      <c r="Q74" s="12" t="n">
        <f aca="false">IF(OR(Q$4&lt;Assumptions!$E$32,Q$4&lt;$B74),0,Q52*IF(Q$4&gt;=Assumptions!$E$33,INDEX($D$94:$D$111,Q$4-MAX($B74,Assumptions!$E$32)+1),INDEX($C$94:$C$111,Q$4-MAX($B74,Assumptions!$E$32)+1)))</f>
        <v>30.9097944881813</v>
      </c>
      <c r="R74" s="12" t="n">
        <f aca="false">IF(OR(R$4&lt;Assumptions!$E$32,R$4&lt;$B74),0,R52*IF(R$4&gt;=Assumptions!$E$33,INDEX($D$94:$D$111,R$4-MAX($B74,Assumptions!$E$32)+1),INDEX($C$94:$C$111,R$4-MAX($B74,Assumptions!$E$32)+1)))</f>
        <v>29.3643047637722</v>
      </c>
      <c r="S74" s="12" t="n">
        <f aca="false">IF(OR(S$4&lt;Assumptions!$E$32,S$4&lt;$B74),0,S52*IF(S$4&gt;=Assumptions!$E$33,INDEX($D$94:$D$111,S$4-MAX($B74,Assumptions!$E$32)+1),INDEX($C$94:$C$111,S$4-MAX($B74,Assumptions!$E$32)+1)))</f>
        <v>27.8960895255836</v>
      </c>
      <c r="T74" s="12" t="n">
        <f aca="false">IF(OR(T$4&lt;Assumptions!$E$32,T$4&lt;$B74),0,T52*IF(T$4&gt;=Assumptions!$E$33,INDEX($D$94:$D$111,T$4-MAX($B74,Assumptions!$E$32)+1),INDEX($C$94:$C$111,T$4-MAX($B74,Assumptions!$E$32)+1)))</f>
        <v>26.5012850493044</v>
      </c>
      <c r="U74" s="12" t="n">
        <f aca="false">IF(OR(U$4&lt;Assumptions!$E$32,U$4&lt;$B74),0,U52*IF(U$4&gt;=Assumptions!$E$33,INDEX($D$94:$D$111,U$4-MAX($B74,Assumptions!$E$32)+1),INDEX($C$94:$C$111,U$4-MAX($B74,Assumptions!$E$32)+1)))</f>
        <v>25.1762207968392</v>
      </c>
    </row>
    <row r="75" customFormat="false" ht="15" hidden="false" customHeight="false" outlineLevel="0" collapsed="false">
      <c r="A75" s="2" t="s">
        <v>270</v>
      </c>
      <c r="B75" s="15" t="n">
        <v>5</v>
      </c>
      <c r="D75" s="12" t="n">
        <f aca="false">IF(OR(D$4&lt;Assumptions!$E$32,D$4&lt;$B75),0,D53*IF(D$4&gt;=Assumptions!$E$33,INDEX($D$94:$D$111,D$4-MAX($B75,Assumptions!$E$32)+1),INDEX($C$94:$C$111,D$4-MAX($B75,Assumptions!$E$32)+1)))</f>
        <v>0</v>
      </c>
      <c r="E75" s="12" t="n">
        <f aca="false">IF(OR(E$4&lt;Assumptions!$E$32,E$4&lt;$B75),0,E53*IF(E$4&gt;=Assumptions!$E$33,INDEX($D$94:$D$111,E$4-MAX($B75,Assumptions!$E$32)+1),INDEX($C$94:$C$111,E$4-MAX($B75,Assumptions!$E$32)+1)))</f>
        <v>0</v>
      </c>
      <c r="F75" s="12" t="n">
        <f aca="false">IF(OR(F$4&lt;Assumptions!$E$32,F$4&lt;$B75),0,F53*IF(F$4&gt;=Assumptions!$E$33,INDEX($D$94:$D$111,F$4-MAX($B75,Assumptions!$E$32)+1),INDEX($C$94:$C$111,F$4-MAX($B75,Assumptions!$E$32)+1)))</f>
        <v>0</v>
      </c>
      <c r="G75" s="12" t="n">
        <f aca="false">IF(OR(G$4&lt;Assumptions!$E$32,G$4&lt;$B75),0,G53*IF(G$4&gt;=Assumptions!$E$33,INDEX($D$94:$D$111,G$4-MAX($B75,Assumptions!$E$32)+1),INDEX($C$94:$C$111,G$4-MAX($B75,Assumptions!$E$32)+1)))</f>
        <v>0</v>
      </c>
      <c r="H75" s="12" t="n">
        <f aca="false">IF(OR(H$4&lt;Assumptions!$E$32,H$4&lt;$B75),0,H53*IF(H$4&gt;=Assumptions!$E$33,INDEX($D$94:$D$111,H$4-MAX($B75,Assumptions!$E$32)+1),INDEX($C$94:$C$111,H$4-MAX($B75,Assumptions!$E$32)+1)))</f>
        <v>10.5</v>
      </c>
      <c r="I75" s="12" t="n">
        <f aca="false">IF(OR(I$4&lt;Assumptions!$E$32,I$4&lt;$B75),0,I53*IF(I$4&gt;=Assumptions!$E$33,INDEX($D$94:$D$111,I$4-MAX($B75,Assumptions!$E$32)+1),INDEX($C$94:$C$111,I$4-MAX($B75,Assumptions!$E$32)+1)))</f>
        <v>19.95</v>
      </c>
      <c r="J75" s="12" t="n">
        <f aca="false">IF(OR(J$4&lt;Assumptions!$E$32,J$4&lt;$B75),0,J53*IF(J$4&gt;=Assumptions!$E$33,INDEX($D$94:$D$111,J$4-MAX($B75,Assumptions!$E$32)+1),INDEX($C$94:$C$111,J$4-MAX($B75,Assumptions!$E$32)+1)))</f>
        <v>28.42875</v>
      </c>
      <c r="K75" s="12" t="n">
        <f aca="false">IF(OR(K$4&lt;Assumptions!$E$32,K$4&lt;$B75),0,K53*IF(K$4&gt;=Assumptions!$E$33,INDEX($D$94:$D$111,K$4-MAX($B75,Assumptions!$E$32)+1),INDEX($C$94:$C$111,K$4-MAX($B75,Assumptions!$E$32)+1)))</f>
        <v>45.0121875</v>
      </c>
      <c r="L75" s="12" t="n">
        <f aca="false">IF(OR(L$4&lt;Assumptions!$E$32,L$4&lt;$B75),0,L53*IF(L$4&gt;=Assumptions!$E$33,INDEX($D$94:$D$111,L$4-MAX($B75,Assumptions!$E$32)+1),INDEX($C$94:$C$111,L$4-MAX($B75,Assumptions!$E$32)+1)))</f>
        <v>45.3272728125</v>
      </c>
      <c r="M75" s="12" t="n">
        <f aca="false">IF(OR(M$4&lt;Assumptions!$E$32,M$4&lt;$B75),0,M53*IF(M$4&gt;=Assumptions!$E$33,INDEX($D$94:$D$111,M$4-MAX($B75,Assumptions!$E$32)+1),INDEX($C$94:$C$111,M$4-MAX($B75,Assumptions!$E$32)+1)))</f>
        <v>43.060909171875</v>
      </c>
      <c r="N75" s="12" t="n">
        <f aca="false">IF(OR(N$4&lt;Assumptions!$E$32,N$4&lt;$B75),0,N53*IF(N$4&gt;=Assumptions!$E$33,INDEX($D$94:$D$111,N$4-MAX($B75,Assumptions!$E$32)+1),INDEX($C$94:$C$111,N$4-MAX($B75,Assumptions!$E$32)+1)))</f>
        <v>40.9078637132812</v>
      </c>
      <c r="O75" s="12" t="n">
        <f aca="false">IF(OR(O$4&lt;Assumptions!$E$32,O$4&lt;$B75),0,O53*IF(O$4&gt;=Assumptions!$E$33,INDEX($D$94:$D$111,O$4-MAX($B75,Assumptions!$E$32)+1),INDEX($C$94:$C$111,O$4-MAX($B75,Assumptions!$E$32)+1)))</f>
        <v>43.2619954930078</v>
      </c>
      <c r="P75" s="12" t="n">
        <f aca="false">IF(OR(P$4&lt;Assumptions!$E$32,P$4&lt;$B75),0,P53*IF(P$4&gt;=Assumptions!$E$33,INDEX($D$94:$D$111,P$4-MAX($B75,Assumptions!$E$32)+1),INDEX($C$94:$C$111,P$4-MAX($B75,Assumptions!$E$32)+1)))</f>
        <v>41.0988957183574</v>
      </c>
      <c r="Q75" s="12" t="n">
        <f aca="false">IF(OR(Q$4&lt;Assumptions!$E$32,Q$4&lt;$B75),0,Q53*IF(Q$4&gt;=Assumptions!$E$33,INDEX($D$94:$D$111,Q$4-MAX($B75,Assumptions!$E$32)+1),INDEX($C$94:$C$111,Q$4-MAX($B75,Assumptions!$E$32)+1)))</f>
        <v>39.0439509324395</v>
      </c>
      <c r="R75" s="12" t="n">
        <f aca="false">IF(OR(R$4&lt;Assumptions!$E$32,R$4&lt;$B75),0,R53*IF(R$4&gt;=Assumptions!$E$33,INDEX($D$94:$D$111,R$4-MAX($B75,Assumptions!$E$32)+1),INDEX($C$94:$C$111,R$4-MAX($B75,Assumptions!$E$32)+1)))</f>
        <v>37.0917533858176</v>
      </c>
      <c r="S75" s="12" t="n">
        <f aca="false">IF(OR(S$4&lt;Assumptions!$E$32,S$4&lt;$B75),0,S53*IF(S$4&gt;=Assumptions!$E$33,INDEX($D$94:$D$111,S$4-MAX($B75,Assumptions!$E$32)+1),INDEX($C$94:$C$111,S$4-MAX($B75,Assumptions!$E$32)+1)))</f>
        <v>35.2371657165267</v>
      </c>
      <c r="T75" s="12" t="n">
        <f aca="false">IF(OR(T$4&lt;Assumptions!$E$32,T$4&lt;$B75),0,T53*IF(T$4&gt;=Assumptions!$E$33,INDEX($D$94:$D$111,T$4-MAX($B75,Assumptions!$E$32)+1),INDEX($C$94:$C$111,T$4-MAX($B75,Assumptions!$E$32)+1)))</f>
        <v>33.4753074307003</v>
      </c>
      <c r="U75" s="12" t="n">
        <f aca="false">IF(OR(U$4&lt;Assumptions!$E$32,U$4&lt;$B75),0,U53*IF(U$4&gt;=Assumptions!$E$33,INDEX($D$94:$D$111,U$4-MAX($B75,Assumptions!$E$32)+1),INDEX($C$94:$C$111,U$4-MAX($B75,Assumptions!$E$32)+1)))</f>
        <v>31.8015420591653</v>
      </c>
    </row>
    <row r="76" customFormat="false" ht="15" hidden="false" customHeight="false" outlineLevel="0" collapsed="false">
      <c r="A76" s="2" t="s">
        <v>271</v>
      </c>
      <c r="B76" s="15" t="n">
        <v>6</v>
      </c>
      <c r="D76" s="12" t="n">
        <f aca="false">IF(OR(D$4&lt;Assumptions!$E$32,D$4&lt;$B76),0,D54*IF(D$4&gt;=Assumptions!$E$33,INDEX($D$94:$D$111,D$4-MAX($B76,Assumptions!$E$32)+1),INDEX($C$94:$C$111,D$4-MAX($B76,Assumptions!$E$32)+1)))</f>
        <v>0</v>
      </c>
      <c r="E76" s="12" t="n">
        <f aca="false">IF(OR(E$4&lt;Assumptions!$E$32,E$4&lt;$B76),0,E54*IF(E$4&gt;=Assumptions!$E$33,INDEX($D$94:$D$111,E$4-MAX($B76,Assumptions!$E$32)+1),INDEX($C$94:$C$111,E$4-MAX($B76,Assumptions!$E$32)+1)))</f>
        <v>0</v>
      </c>
      <c r="F76" s="12" t="n">
        <f aca="false">IF(OR(F$4&lt;Assumptions!$E$32,F$4&lt;$B76),0,F54*IF(F$4&gt;=Assumptions!$E$33,INDEX($D$94:$D$111,F$4-MAX($B76,Assumptions!$E$32)+1),INDEX($C$94:$C$111,F$4-MAX($B76,Assumptions!$E$32)+1)))</f>
        <v>0</v>
      </c>
      <c r="G76" s="12" t="n">
        <f aca="false">IF(OR(G$4&lt;Assumptions!$E$32,G$4&lt;$B76),0,G54*IF(G$4&gt;=Assumptions!$E$33,INDEX($D$94:$D$111,G$4-MAX($B76,Assumptions!$E$32)+1),INDEX($C$94:$C$111,G$4-MAX($B76,Assumptions!$E$32)+1)))</f>
        <v>0</v>
      </c>
      <c r="H76" s="12" t="n">
        <f aca="false">IF(OR(H$4&lt;Assumptions!$E$32,H$4&lt;$B76),0,H54*IF(H$4&gt;=Assumptions!$E$33,INDEX($D$94:$D$111,H$4-MAX($B76,Assumptions!$E$32)+1),INDEX($C$94:$C$111,H$4-MAX($B76,Assumptions!$E$32)+1)))</f>
        <v>0</v>
      </c>
      <c r="I76" s="12" t="n">
        <f aca="false">IF(OR(I$4&lt;Assumptions!$E$32,I$4&lt;$B76),0,I54*IF(I$4&gt;=Assumptions!$E$33,INDEX($D$94:$D$111,I$4-MAX($B76,Assumptions!$E$32)+1),INDEX($C$94:$C$111,I$4-MAX($B76,Assumptions!$E$32)+1)))</f>
        <v>12.25</v>
      </c>
      <c r="J76" s="12" t="n">
        <f aca="false">IF(OR(J$4&lt;Assumptions!$E$32,J$4&lt;$B76),0,J54*IF(J$4&gt;=Assumptions!$E$33,INDEX($D$94:$D$111,J$4-MAX($B76,Assumptions!$E$32)+1),INDEX($C$94:$C$111,J$4-MAX($B76,Assumptions!$E$32)+1)))</f>
        <v>23.275</v>
      </c>
      <c r="K76" s="12" t="n">
        <f aca="false">IF(OR(K$4&lt;Assumptions!$E$32,K$4&lt;$B76),0,K54*IF(K$4&gt;=Assumptions!$E$33,INDEX($D$94:$D$111,K$4-MAX($B76,Assumptions!$E$32)+1),INDEX($C$94:$C$111,K$4-MAX($B76,Assumptions!$E$32)+1)))</f>
        <v>33.166875</v>
      </c>
      <c r="L76" s="12" t="n">
        <f aca="false">IF(OR(L$4&lt;Assumptions!$E$32,L$4&lt;$B76),0,L54*IF(L$4&gt;=Assumptions!$E$33,INDEX($D$94:$D$111,L$4-MAX($B76,Assumptions!$E$32)+1),INDEX($C$94:$C$111,L$4-MAX($B76,Assumptions!$E$32)+1)))</f>
        <v>52.51421875</v>
      </c>
      <c r="M76" s="12" t="n">
        <f aca="false">IF(OR(M$4&lt;Assumptions!$E$32,M$4&lt;$B76),0,M54*IF(M$4&gt;=Assumptions!$E$33,INDEX($D$94:$D$111,M$4-MAX($B76,Assumptions!$E$32)+1),INDEX($C$94:$C$111,M$4-MAX($B76,Assumptions!$E$32)+1)))</f>
        <v>52.88181828125</v>
      </c>
      <c r="N76" s="12" t="n">
        <f aca="false">IF(OR(N$4&lt;Assumptions!$E$32,N$4&lt;$B76),0,N54*IF(N$4&gt;=Assumptions!$E$33,INDEX($D$94:$D$111,N$4-MAX($B76,Assumptions!$E$32)+1),INDEX($C$94:$C$111,N$4-MAX($B76,Assumptions!$E$32)+1)))</f>
        <v>50.2377273671875</v>
      </c>
      <c r="O76" s="12" t="n">
        <f aca="false">IF(OR(O$4&lt;Assumptions!$E$32,O$4&lt;$B76),0,O54*IF(O$4&gt;=Assumptions!$E$33,INDEX($D$94:$D$111,O$4-MAX($B76,Assumptions!$E$32)+1),INDEX($C$94:$C$111,O$4-MAX($B76,Assumptions!$E$32)+1)))</f>
        <v>47.7258409988281</v>
      </c>
      <c r="P76" s="12" t="n">
        <f aca="false">IF(OR(P$4&lt;Assumptions!$E$32,P$4&lt;$B76),0,P54*IF(P$4&gt;=Assumptions!$E$33,INDEX($D$94:$D$111,P$4-MAX($B76,Assumptions!$E$32)+1),INDEX($C$94:$C$111,P$4-MAX($B76,Assumptions!$E$32)+1)))</f>
        <v>50.4723280751758</v>
      </c>
      <c r="Q76" s="12" t="n">
        <f aca="false">IF(OR(Q$4&lt;Assumptions!$E$32,Q$4&lt;$B76),0,Q54*IF(Q$4&gt;=Assumptions!$E$33,INDEX($D$94:$D$111,Q$4-MAX($B76,Assumptions!$E$32)+1),INDEX($C$94:$C$111,Q$4-MAX($B76,Assumptions!$E$32)+1)))</f>
        <v>47.948711671417</v>
      </c>
      <c r="R76" s="12" t="n">
        <f aca="false">IF(OR(R$4&lt;Assumptions!$E$32,R$4&lt;$B76),0,R54*IF(R$4&gt;=Assumptions!$E$33,INDEX($D$94:$D$111,R$4-MAX($B76,Assumptions!$E$32)+1),INDEX($C$94:$C$111,R$4-MAX($B76,Assumptions!$E$32)+1)))</f>
        <v>45.5512760878461</v>
      </c>
      <c r="S76" s="12" t="n">
        <f aca="false">IF(OR(S$4&lt;Assumptions!$E$32,S$4&lt;$B76),0,S54*IF(S$4&gt;=Assumptions!$E$33,INDEX($D$94:$D$111,S$4-MAX($B76,Assumptions!$E$32)+1),INDEX($C$94:$C$111,S$4-MAX($B76,Assumptions!$E$32)+1)))</f>
        <v>43.2737122834538</v>
      </c>
      <c r="T76" s="12" t="n">
        <f aca="false">IF(OR(T$4&lt;Assumptions!$E$32,T$4&lt;$B76),0,T54*IF(T$4&gt;=Assumptions!$E$33,INDEX($D$94:$D$111,T$4-MAX($B76,Assumptions!$E$32)+1),INDEX($C$94:$C$111,T$4-MAX($B76,Assumptions!$E$32)+1)))</f>
        <v>41.1100266692811</v>
      </c>
      <c r="U76" s="12" t="n">
        <f aca="false">IF(OR(U$4&lt;Assumptions!$E$32,U$4&lt;$B76),0,U54*IF(U$4&gt;=Assumptions!$E$33,INDEX($D$94:$D$111,U$4-MAX($B76,Assumptions!$E$32)+1),INDEX($C$94:$C$111,U$4-MAX($B76,Assumptions!$E$32)+1)))</f>
        <v>39.0545253358171</v>
      </c>
    </row>
    <row r="77" customFormat="false" ht="15" hidden="false" customHeight="false" outlineLevel="0" collapsed="false">
      <c r="A77" s="2" t="s">
        <v>272</v>
      </c>
      <c r="B77" s="15" t="n">
        <v>7</v>
      </c>
      <c r="D77" s="12" t="n">
        <f aca="false">IF(OR(D$4&lt;Assumptions!$E$32,D$4&lt;$B77),0,D55*IF(D$4&gt;=Assumptions!$E$33,INDEX($D$94:$D$111,D$4-MAX($B77,Assumptions!$E$32)+1),INDEX($C$94:$C$111,D$4-MAX($B77,Assumptions!$E$32)+1)))</f>
        <v>0</v>
      </c>
      <c r="E77" s="12" t="n">
        <f aca="false">IF(OR(E$4&lt;Assumptions!$E$32,E$4&lt;$B77),0,E55*IF(E$4&gt;=Assumptions!$E$33,INDEX($D$94:$D$111,E$4-MAX($B77,Assumptions!$E$32)+1),INDEX($C$94:$C$111,E$4-MAX($B77,Assumptions!$E$32)+1)))</f>
        <v>0</v>
      </c>
      <c r="F77" s="12" t="n">
        <f aca="false">IF(OR(F$4&lt;Assumptions!$E$32,F$4&lt;$B77),0,F55*IF(F$4&gt;=Assumptions!$E$33,INDEX($D$94:$D$111,F$4-MAX($B77,Assumptions!$E$32)+1),INDEX($C$94:$C$111,F$4-MAX($B77,Assumptions!$E$32)+1)))</f>
        <v>0</v>
      </c>
      <c r="G77" s="12" t="n">
        <f aca="false">IF(OR(G$4&lt;Assumptions!$E$32,G$4&lt;$B77),0,G55*IF(G$4&gt;=Assumptions!$E$33,INDEX($D$94:$D$111,G$4-MAX($B77,Assumptions!$E$32)+1),INDEX($C$94:$C$111,G$4-MAX($B77,Assumptions!$E$32)+1)))</f>
        <v>0</v>
      </c>
      <c r="H77" s="12" t="n">
        <f aca="false">IF(OR(H$4&lt;Assumptions!$E$32,H$4&lt;$B77),0,H55*IF(H$4&gt;=Assumptions!$E$33,INDEX($D$94:$D$111,H$4-MAX($B77,Assumptions!$E$32)+1),INDEX($C$94:$C$111,H$4-MAX($B77,Assumptions!$E$32)+1)))</f>
        <v>0</v>
      </c>
      <c r="I77" s="12" t="n">
        <f aca="false">IF(OR(I$4&lt;Assumptions!$E$32,I$4&lt;$B77),0,I55*IF(I$4&gt;=Assumptions!$E$33,INDEX($D$94:$D$111,I$4-MAX($B77,Assumptions!$E$32)+1),INDEX($C$94:$C$111,I$4-MAX($B77,Assumptions!$E$32)+1)))</f>
        <v>0</v>
      </c>
      <c r="J77" s="12" t="n">
        <f aca="false">IF(OR(J$4&lt;Assumptions!$E$32,J$4&lt;$B77),0,J55*IF(J$4&gt;=Assumptions!$E$33,INDEX($D$94:$D$111,J$4-MAX($B77,Assumptions!$E$32)+1),INDEX($C$94:$C$111,J$4-MAX($B77,Assumptions!$E$32)+1)))</f>
        <v>12.25</v>
      </c>
      <c r="K77" s="12" t="n">
        <f aca="false">IF(OR(K$4&lt;Assumptions!$E$32,K$4&lt;$B77),0,K55*IF(K$4&gt;=Assumptions!$E$33,INDEX($D$94:$D$111,K$4-MAX($B77,Assumptions!$E$32)+1),INDEX($C$94:$C$111,K$4-MAX($B77,Assumptions!$E$32)+1)))</f>
        <v>23.275</v>
      </c>
      <c r="L77" s="12" t="n">
        <f aca="false">IF(OR(L$4&lt;Assumptions!$E$32,L$4&lt;$B77),0,L55*IF(L$4&gt;=Assumptions!$E$33,INDEX($D$94:$D$111,L$4-MAX($B77,Assumptions!$E$32)+1),INDEX($C$94:$C$111,L$4-MAX($B77,Assumptions!$E$32)+1)))</f>
        <v>33.166875</v>
      </c>
      <c r="M77" s="12" t="n">
        <f aca="false">IF(OR(M$4&lt;Assumptions!$E$32,M$4&lt;$B77),0,M55*IF(M$4&gt;=Assumptions!$E$33,INDEX($D$94:$D$111,M$4-MAX($B77,Assumptions!$E$32)+1),INDEX($C$94:$C$111,M$4-MAX($B77,Assumptions!$E$32)+1)))</f>
        <v>52.51421875</v>
      </c>
      <c r="N77" s="12" t="n">
        <f aca="false">IF(OR(N$4&lt;Assumptions!$E$32,N$4&lt;$B77),0,N55*IF(N$4&gt;=Assumptions!$E$33,INDEX($D$94:$D$111,N$4-MAX($B77,Assumptions!$E$32)+1),INDEX($C$94:$C$111,N$4-MAX($B77,Assumptions!$E$32)+1)))</f>
        <v>52.88181828125</v>
      </c>
      <c r="O77" s="12" t="n">
        <f aca="false">IF(OR(O$4&lt;Assumptions!$E$32,O$4&lt;$B77),0,O55*IF(O$4&gt;=Assumptions!$E$33,INDEX($D$94:$D$111,O$4-MAX($B77,Assumptions!$E$32)+1),INDEX($C$94:$C$111,O$4-MAX($B77,Assumptions!$E$32)+1)))</f>
        <v>50.2377273671875</v>
      </c>
      <c r="P77" s="12" t="n">
        <f aca="false">IF(OR(P$4&lt;Assumptions!$E$32,P$4&lt;$B77),0,P55*IF(P$4&gt;=Assumptions!$E$33,INDEX($D$94:$D$111,P$4-MAX($B77,Assumptions!$E$32)+1),INDEX($C$94:$C$111,P$4-MAX($B77,Assumptions!$E$32)+1)))</f>
        <v>47.7258409988281</v>
      </c>
      <c r="Q77" s="12" t="n">
        <f aca="false">IF(OR(Q$4&lt;Assumptions!$E$32,Q$4&lt;$B77),0,Q55*IF(Q$4&gt;=Assumptions!$E$33,INDEX($D$94:$D$111,Q$4-MAX($B77,Assumptions!$E$32)+1),INDEX($C$94:$C$111,Q$4-MAX($B77,Assumptions!$E$32)+1)))</f>
        <v>50.4723280751758</v>
      </c>
      <c r="R77" s="12" t="n">
        <f aca="false">IF(OR(R$4&lt;Assumptions!$E$32,R$4&lt;$B77),0,R55*IF(R$4&gt;=Assumptions!$E$33,INDEX($D$94:$D$111,R$4-MAX($B77,Assumptions!$E$32)+1),INDEX($C$94:$C$111,R$4-MAX($B77,Assumptions!$E$32)+1)))</f>
        <v>47.948711671417</v>
      </c>
      <c r="S77" s="12" t="n">
        <f aca="false">IF(OR(S$4&lt;Assumptions!$E$32,S$4&lt;$B77),0,S55*IF(S$4&gt;=Assumptions!$E$33,INDEX($D$94:$D$111,S$4-MAX($B77,Assumptions!$E$32)+1),INDEX($C$94:$C$111,S$4-MAX($B77,Assumptions!$E$32)+1)))</f>
        <v>45.5512760878461</v>
      </c>
      <c r="T77" s="12" t="n">
        <f aca="false">IF(OR(T$4&lt;Assumptions!$E$32,T$4&lt;$B77),0,T55*IF(T$4&gt;=Assumptions!$E$33,INDEX($D$94:$D$111,T$4-MAX($B77,Assumptions!$E$32)+1),INDEX($C$94:$C$111,T$4-MAX($B77,Assumptions!$E$32)+1)))</f>
        <v>43.2737122834538</v>
      </c>
      <c r="U77" s="12" t="n">
        <f aca="false">IF(OR(U$4&lt;Assumptions!$E$32,U$4&lt;$B77),0,U55*IF(U$4&gt;=Assumptions!$E$33,INDEX($D$94:$D$111,U$4-MAX($B77,Assumptions!$E$32)+1),INDEX($C$94:$C$111,U$4-MAX($B77,Assumptions!$E$32)+1)))</f>
        <v>41.1100266692811</v>
      </c>
    </row>
    <row r="78" customFormat="false" ht="15" hidden="false" customHeight="false" outlineLevel="0" collapsed="false">
      <c r="A78" s="2" t="s">
        <v>273</v>
      </c>
      <c r="B78" s="15" t="n">
        <v>8</v>
      </c>
      <c r="D78" s="12" t="n">
        <f aca="false">IF(OR(D$4&lt;Assumptions!$E$32,D$4&lt;$B78),0,D56*IF(D$4&gt;=Assumptions!$E$33,INDEX($D$94:$D$111,D$4-MAX($B78,Assumptions!$E$32)+1),INDEX($C$94:$C$111,D$4-MAX($B78,Assumptions!$E$32)+1)))</f>
        <v>0</v>
      </c>
      <c r="E78" s="12" t="n">
        <f aca="false">IF(OR(E$4&lt;Assumptions!$E$32,E$4&lt;$B78),0,E56*IF(E$4&gt;=Assumptions!$E$33,INDEX($D$94:$D$111,E$4-MAX($B78,Assumptions!$E$32)+1),INDEX($C$94:$C$111,E$4-MAX($B78,Assumptions!$E$32)+1)))</f>
        <v>0</v>
      </c>
      <c r="F78" s="12" t="n">
        <f aca="false">IF(OR(F$4&lt;Assumptions!$E$32,F$4&lt;$B78),0,F56*IF(F$4&gt;=Assumptions!$E$33,INDEX($D$94:$D$111,F$4-MAX($B78,Assumptions!$E$32)+1),INDEX($C$94:$C$111,F$4-MAX($B78,Assumptions!$E$32)+1)))</f>
        <v>0</v>
      </c>
      <c r="G78" s="12" t="n">
        <f aca="false">IF(OR(G$4&lt;Assumptions!$E$32,G$4&lt;$B78),0,G56*IF(G$4&gt;=Assumptions!$E$33,INDEX($D$94:$D$111,G$4-MAX($B78,Assumptions!$E$32)+1),INDEX($C$94:$C$111,G$4-MAX($B78,Assumptions!$E$32)+1)))</f>
        <v>0</v>
      </c>
      <c r="H78" s="12" t="n">
        <f aca="false">IF(OR(H$4&lt;Assumptions!$E$32,H$4&lt;$B78),0,H56*IF(H$4&gt;=Assumptions!$E$33,INDEX($D$94:$D$111,H$4-MAX($B78,Assumptions!$E$32)+1),INDEX($C$94:$C$111,H$4-MAX($B78,Assumptions!$E$32)+1)))</f>
        <v>0</v>
      </c>
      <c r="I78" s="12" t="n">
        <f aca="false">IF(OR(I$4&lt;Assumptions!$E$32,I$4&lt;$B78),0,I56*IF(I$4&gt;=Assumptions!$E$33,INDEX($D$94:$D$111,I$4-MAX($B78,Assumptions!$E$32)+1),INDEX($C$94:$C$111,I$4-MAX($B78,Assumptions!$E$32)+1)))</f>
        <v>0</v>
      </c>
      <c r="J78" s="12" t="n">
        <f aca="false">IF(OR(J$4&lt;Assumptions!$E$32,J$4&lt;$B78),0,J56*IF(J$4&gt;=Assumptions!$E$33,INDEX($D$94:$D$111,J$4-MAX($B78,Assumptions!$E$32)+1),INDEX($C$94:$C$111,J$4-MAX($B78,Assumptions!$E$32)+1)))</f>
        <v>0</v>
      </c>
      <c r="K78" s="12" t="n">
        <f aca="false">IF(OR(K$4&lt;Assumptions!$E$32,K$4&lt;$B78),0,K56*IF(K$4&gt;=Assumptions!$E$33,INDEX($D$94:$D$111,K$4-MAX($B78,Assumptions!$E$32)+1),INDEX($C$94:$C$111,K$4-MAX($B78,Assumptions!$E$32)+1)))</f>
        <v>12.25</v>
      </c>
      <c r="L78" s="12" t="n">
        <f aca="false">IF(OR(L$4&lt;Assumptions!$E$32,L$4&lt;$B78),0,L56*IF(L$4&gt;=Assumptions!$E$33,INDEX($D$94:$D$111,L$4-MAX($B78,Assumptions!$E$32)+1),INDEX($C$94:$C$111,L$4-MAX($B78,Assumptions!$E$32)+1)))</f>
        <v>23.275</v>
      </c>
      <c r="M78" s="12" t="n">
        <f aca="false">IF(OR(M$4&lt;Assumptions!$E$32,M$4&lt;$B78),0,M56*IF(M$4&gt;=Assumptions!$E$33,INDEX($D$94:$D$111,M$4-MAX($B78,Assumptions!$E$32)+1),INDEX($C$94:$C$111,M$4-MAX($B78,Assumptions!$E$32)+1)))</f>
        <v>33.166875</v>
      </c>
      <c r="N78" s="12" t="n">
        <f aca="false">IF(OR(N$4&lt;Assumptions!$E$32,N$4&lt;$B78),0,N56*IF(N$4&gt;=Assumptions!$E$33,INDEX($D$94:$D$111,N$4-MAX($B78,Assumptions!$E$32)+1),INDEX($C$94:$C$111,N$4-MAX($B78,Assumptions!$E$32)+1)))</f>
        <v>52.51421875</v>
      </c>
      <c r="O78" s="12" t="n">
        <f aca="false">IF(OR(O$4&lt;Assumptions!$E$32,O$4&lt;$B78),0,O56*IF(O$4&gt;=Assumptions!$E$33,INDEX($D$94:$D$111,O$4-MAX($B78,Assumptions!$E$32)+1),INDEX($C$94:$C$111,O$4-MAX($B78,Assumptions!$E$32)+1)))</f>
        <v>52.88181828125</v>
      </c>
      <c r="P78" s="12" t="n">
        <f aca="false">IF(OR(P$4&lt;Assumptions!$E$32,P$4&lt;$B78),0,P56*IF(P$4&gt;=Assumptions!$E$33,INDEX($D$94:$D$111,P$4-MAX($B78,Assumptions!$E$32)+1),INDEX($C$94:$C$111,P$4-MAX($B78,Assumptions!$E$32)+1)))</f>
        <v>50.2377273671875</v>
      </c>
      <c r="Q78" s="12" t="n">
        <f aca="false">IF(OR(Q$4&lt;Assumptions!$E$32,Q$4&lt;$B78),0,Q56*IF(Q$4&gt;=Assumptions!$E$33,INDEX($D$94:$D$111,Q$4-MAX($B78,Assumptions!$E$32)+1),INDEX($C$94:$C$111,Q$4-MAX($B78,Assumptions!$E$32)+1)))</f>
        <v>47.7258409988281</v>
      </c>
      <c r="R78" s="12" t="n">
        <f aca="false">IF(OR(R$4&lt;Assumptions!$E$32,R$4&lt;$B78),0,R56*IF(R$4&gt;=Assumptions!$E$33,INDEX($D$94:$D$111,R$4-MAX($B78,Assumptions!$E$32)+1),INDEX($C$94:$C$111,R$4-MAX($B78,Assumptions!$E$32)+1)))</f>
        <v>50.4723280751758</v>
      </c>
      <c r="S78" s="12" t="n">
        <f aca="false">IF(OR(S$4&lt;Assumptions!$E$32,S$4&lt;$B78),0,S56*IF(S$4&gt;=Assumptions!$E$33,INDEX($D$94:$D$111,S$4-MAX($B78,Assumptions!$E$32)+1),INDEX($C$94:$C$111,S$4-MAX($B78,Assumptions!$E$32)+1)))</f>
        <v>47.948711671417</v>
      </c>
      <c r="T78" s="12" t="n">
        <f aca="false">IF(OR(T$4&lt;Assumptions!$E$32,T$4&lt;$B78),0,T56*IF(T$4&gt;=Assumptions!$E$33,INDEX($D$94:$D$111,T$4-MAX($B78,Assumptions!$E$32)+1),INDEX($C$94:$C$111,T$4-MAX($B78,Assumptions!$E$32)+1)))</f>
        <v>45.5512760878461</v>
      </c>
      <c r="U78" s="12" t="n">
        <f aca="false">IF(OR(U$4&lt;Assumptions!$E$32,U$4&lt;$B78),0,U56*IF(U$4&gt;=Assumptions!$E$33,INDEX($D$94:$D$111,U$4-MAX($B78,Assumptions!$E$32)+1),INDEX($C$94:$C$111,U$4-MAX($B78,Assumptions!$E$32)+1)))</f>
        <v>43.2737122834538</v>
      </c>
    </row>
    <row r="79" customFormat="false" ht="15" hidden="false" customHeight="false" outlineLevel="0" collapsed="false">
      <c r="A79" s="2" t="s">
        <v>274</v>
      </c>
      <c r="B79" s="15" t="n">
        <v>9</v>
      </c>
      <c r="D79" s="12" t="n">
        <f aca="false">IF(OR(D$4&lt;Assumptions!$E$32,D$4&lt;$B79),0,D57*IF(D$4&gt;=Assumptions!$E$33,INDEX($D$94:$D$111,D$4-MAX($B79,Assumptions!$E$32)+1),INDEX($C$94:$C$111,D$4-MAX($B79,Assumptions!$E$32)+1)))</f>
        <v>0</v>
      </c>
      <c r="E79" s="12" t="n">
        <f aca="false">IF(OR(E$4&lt;Assumptions!$E$32,E$4&lt;$B79),0,E57*IF(E$4&gt;=Assumptions!$E$33,INDEX($D$94:$D$111,E$4-MAX($B79,Assumptions!$E$32)+1),INDEX($C$94:$C$111,E$4-MAX($B79,Assumptions!$E$32)+1)))</f>
        <v>0</v>
      </c>
      <c r="F79" s="12" t="n">
        <f aca="false">IF(OR(F$4&lt;Assumptions!$E$32,F$4&lt;$B79),0,F57*IF(F$4&gt;=Assumptions!$E$33,INDEX($D$94:$D$111,F$4-MAX($B79,Assumptions!$E$32)+1),INDEX($C$94:$C$111,F$4-MAX($B79,Assumptions!$E$32)+1)))</f>
        <v>0</v>
      </c>
      <c r="G79" s="12" t="n">
        <f aca="false">IF(OR(G$4&lt;Assumptions!$E$32,G$4&lt;$B79),0,G57*IF(G$4&gt;=Assumptions!$E$33,INDEX($D$94:$D$111,G$4-MAX($B79,Assumptions!$E$32)+1),INDEX($C$94:$C$111,G$4-MAX($B79,Assumptions!$E$32)+1)))</f>
        <v>0</v>
      </c>
      <c r="H79" s="12" t="n">
        <f aca="false">IF(OR(H$4&lt;Assumptions!$E$32,H$4&lt;$B79),0,H57*IF(H$4&gt;=Assumptions!$E$33,INDEX($D$94:$D$111,H$4-MAX($B79,Assumptions!$E$32)+1),INDEX($C$94:$C$111,H$4-MAX($B79,Assumptions!$E$32)+1)))</f>
        <v>0</v>
      </c>
      <c r="I79" s="12" t="n">
        <f aca="false">IF(OR(I$4&lt;Assumptions!$E$32,I$4&lt;$B79),0,I57*IF(I$4&gt;=Assumptions!$E$33,INDEX($D$94:$D$111,I$4-MAX($B79,Assumptions!$E$32)+1),INDEX($C$94:$C$111,I$4-MAX($B79,Assumptions!$E$32)+1)))</f>
        <v>0</v>
      </c>
      <c r="J79" s="12" t="n">
        <f aca="false">IF(OR(J$4&lt;Assumptions!$E$32,J$4&lt;$B79),0,J57*IF(J$4&gt;=Assumptions!$E$33,INDEX($D$94:$D$111,J$4-MAX($B79,Assumptions!$E$32)+1),INDEX($C$94:$C$111,J$4-MAX($B79,Assumptions!$E$32)+1)))</f>
        <v>0</v>
      </c>
      <c r="K79" s="12" t="n">
        <f aca="false">IF(OR(K$4&lt;Assumptions!$E$32,K$4&lt;$B79),0,K57*IF(K$4&gt;=Assumptions!$E$33,INDEX($D$94:$D$111,K$4-MAX($B79,Assumptions!$E$32)+1),INDEX($C$94:$C$111,K$4-MAX($B79,Assumptions!$E$32)+1)))</f>
        <v>0</v>
      </c>
      <c r="L79" s="12" t="n">
        <f aca="false">IF(OR(L$4&lt;Assumptions!$E$32,L$4&lt;$B79),0,L57*IF(L$4&gt;=Assumptions!$E$33,INDEX($D$94:$D$111,L$4-MAX($B79,Assumptions!$E$32)+1),INDEX($C$94:$C$111,L$4-MAX($B79,Assumptions!$E$32)+1)))</f>
        <v>12.25</v>
      </c>
      <c r="M79" s="12" t="n">
        <f aca="false">IF(OR(M$4&lt;Assumptions!$E$32,M$4&lt;$B79),0,M57*IF(M$4&gt;=Assumptions!$E$33,INDEX($D$94:$D$111,M$4-MAX($B79,Assumptions!$E$32)+1),INDEX($C$94:$C$111,M$4-MAX($B79,Assumptions!$E$32)+1)))</f>
        <v>23.275</v>
      </c>
      <c r="N79" s="12" t="n">
        <f aca="false">IF(OR(N$4&lt;Assumptions!$E$32,N$4&lt;$B79),0,N57*IF(N$4&gt;=Assumptions!$E$33,INDEX($D$94:$D$111,N$4-MAX($B79,Assumptions!$E$32)+1),INDEX($C$94:$C$111,N$4-MAX($B79,Assumptions!$E$32)+1)))</f>
        <v>33.166875</v>
      </c>
      <c r="O79" s="12" t="n">
        <f aca="false">IF(OR(O$4&lt;Assumptions!$E$32,O$4&lt;$B79),0,O57*IF(O$4&gt;=Assumptions!$E$33,INDEX($D$94:$D$111,O$4-MAX($B79,Assumptions!$E$32)+1),INDEX($C$94:$C$111,O$4-MAX($B79,Assumptions!$E$32)+1)))</f>
        <v>52.51421875</v>
      </c>
      <c r="P79" s="12" t="n">
        <f aca="false">IF(OR(P$4&lt;Assumptions!$E$32,P$4&lt;$B79),0,P57*IF(P$4&gt;=Assumptions!$E$33,INDEX($D$94:$D$111,P$4-MAX($B79,Assumptions!$E$32)+1),INDEX($C$94:$C$111,P$4-MAX($B79,Assumptions!$E$32)+1)))</f>
        <v>52.88181828125</v>
      </c>
      <c r="Q79" s="12" t="n">
        <f aca="false">IF(OR(Q$4&lt;Assumptions!$E$32,Q$4&lt;$B79),0,Q57*IF(Q$4&gt;=Assumptions!$E$33,INDEX($D$94:$D$111,Q$4-MAX($B79,Assumptions!$E$32)+1),INDEX($C$94:$C$111,Q$4-MAX($B79,Assumptions!$E$32)+1)))</f>
        <v>50.2377273671875</v>
      </c>
      <c r="R79" s="12" t="n">
        <f aca="false">IF(OR(R$4&lt;Assumptions!$E$32,R$4&lt;$B79),0,R57*IF(R$4&gt;=Assumptions!$E$33,INDEX($D$94:$D$111,R$4-MAX($B79,Assumptions!$E$32)+1),INDEX($C$94:$C$111,R$4-MAX($B79,Assumptions!$E$32)+1)))</f>
        <v>47.7258409988281</v>
      </c>
      <c r="S79" s="12" t="n">
        <f aca="false">IF(OR(S$4&lt;Assumptions!$E$32,S$4&lt;$B79),0,S57*IF(S$4&gt;=Assumptions!$E$33,INDEX($D$94:$D$111,S$4-MAX($B79,Assumptions!$E$32)+1),INDEX($C$94:$C$111,S$4-MAX($B79,Assumptions!$E$32)+1)))</f>
        <v>50.4723280751758</v>
      </c>
      <c r="T79" s="12" t="n">
        <f aca="false">IF(OR(T$4&lt;Assumptions!$E$32,T$4&lt;$B79),0,T57*IF(T$4&gt;=Assumptions!$E$33,INDEX($D$94:$D$111,T$4-MAX($B79,Assumptions!$E$32)+1),INDEX($C$94:$C$111,T$4-MAX($B79,Assumptions!$E$32)+1)))</f>
        <v>47.948711671417</v>
      </c>
      <c r="U79" s="12" t="n">
        <f aca="false">IF(OR(U$4&lt;Assumptions!$E$32,U$4&lt;$B79),0,U57*IF(U$4&gt;=Assumptions!$E$33,INDEX($D$94:$D$111,U$4-MAX($B79,Assumptions!$E$32)+1),INDEX($C$94:$C$111,U$4-MAX($B79,Assumptions!$E$32)+1)))</f>
        <v>45.5512760878461</v>
      </c>
    </row>
    <row r="80" customFormat="false" ht="15" hidden="false" customHeight="false" outlineLevel="0" collapsed="false">
      <c r="A80" s="2" t="s">
        <v>275</v>
      </c>
      <c r="B80" s="15" t="n">
        <v>10</v>
      </c>
      <c r="D80" s="12" t="n">
        <f aca="false">IF(OR(D$4&lt;Assumptions!$E$32,D$4&lt;$B80),0,D58*IF(D$4&gt;=Assumptions!$E$33,INDEX($D$94:$D$111,D$4-MAX($B80,Assumptions!$E$32)+1),INDEX($C$94:$C$111,D$4-MAX($B80,Assumptions!$E$32)+1)))</f>
        <v>0</v>
      </c>
      <c r="E80" s="12" t="n">
        <f aca="false">IF(OR(E$4&lt;Assumptions!$E$32,E$4&lt;$B80),0,E58*IF(E$4&gt;=Assumptions!$E$33,INDEX($D$94:$D$111,E$4-MAX($B80,Assumptions!$E$32)+1),INDEX($C$94:$C$111,E$4-MAX($B80,Assumptions!$E$32)+1)))</f>
        <v>0</v>
      </c>
      <c r="F80" s="12" t="n">
        <f aca="false">IF(OR(F$4&lt;Assumptions!$E$32,F$4&lt;$B80),0,F58*IF(F$4&gt;=Assumptions!$E$33,INDEX($D$94:$D$111,F$4-MAX($B80,Assumptions!$E$32)+1),INDEX($C$94:$C$111,F$4-MAX($B80,Assumptions!$E$32)+1)))</f>
        <v>0</v>
      </c>
      <c r="G80" s="12" t="n">
        <f aca="false">IF(OR(G$4&lt;Assumptions!$E$32,G$4&lt;$B80),0,G58*IF(G$4&gt;=Assumptions!$E$33,INDEX($D$94:$D$111,G$4-MAX($B80,Assumptions!$E$32)+1),INDEX($C$94:$C$111,G$4-MAX($B80,Assumptions!$E$32)+1)))</f>
        <v>0</v>
      </c>
      <c r="H80" s="12" t="n">
        <f aca="false">IF(OR(H$4&lt;Assumptions!$E$32,H$4&lt;$B80),0,H58*IF(H$4&gt;=Assumptions!$E$33,INDEX($D$94:$D$111,H$4-MAX($B80,Assumptions!$E$32)+1),INDEX($C$94:$C$111,H$4-MAX($B80,Assumptions!$E$32)+1)))</f>
        <v>0</v>
      </c>
      <c r="I80" s="12" t="n">
        <f aca="false">IF(OR(I$4&lt;Assumptions!$E$32,I$4&lt;$B80),0,I58*IF(I$4&gt;=Assumptions!$E$33,INDEX($D$94:$D$111,I$4-MAX($B80,Assumptions!$E$32)+1),INDEX($C$94:$C$111,I$4-MAX($B80,Assumptions!$E$32)+1)))</f>
        <v>0</v>
      </c>
      <c r="J80" s="12" t="n">
        <f aca="false">IF(OR(J$4&lt;Assumptions!$E$32,J$4&lt;$B80),0,J58*IF(J$4&gt;=Assumptions!$E$33,INDEX($D$94:$D$111,J$4-MAX($B80,Assumptions!$E$32)+1),INDEX($C$94:$C$111,J$4-MAX($B80,Assumptions!$E$32)+1)))</f>
        <v>0</v>
      </c>
      <c r="K80" s="12" t="n">
        <f aca="false">IF(OR(K$4&lt;Assumptions!$E$32,K$4&lt;$B80),0,K58*IF(K$4&gt;=Assumptions!$E$33,INDEX($D$94:$D$111,K$4-MAX($B80,Assumptions!$E$32)+1),INDEX($C$94:$C$111,K$4-MAX($B80,Assumptions!$E$32)+1)))</f>
        <v>0</v>
      </c>
      <c r="L80" s="12" t="n">
        <f aca="false">IF(OR(L$4&lt;Assumptions!$E$32,L$4&lt;$B80),0,L58*IF(L$4&gt;=Assumptions!$E$33,INDEX($D$94:$D$111,L$4-MAX($B80,Assumptions!$E$32)+1),INDEX($C$94:$C$111,L$4-MAX($B80,Assumptions!$E$32)+1)))</f>
        <v>0</v>
      </c>
      <c r="M80" s="12" t="n">
        <f aca="false">IF(OR(M$4&lt;Assumptions!$E$32,M$4&lt;$B80),0,M58*IF(M$4&gt;=Assumptions!$E$33,INDEX($D$94:$D$111,M$4-MAX($B80,Assumptions!$E$32)+1),INDEX($C$94:$C$111,M$4-MAX($B80,Assumptions!$E$32)+1)))</f>
        <v>12.25</v>
      </c>
      <c r="N80" s="12" t="n">
        <f aca="false">IF(OR(N$4&lt;Assumptions!$E$32,N$4&lt;$B80),0,N58*IF(N$4&gt;=Assumptions!$E$33,INDEX($D$94:$D$111,N$4-MAX($B80,Assumptions!$E$32)+1),INDEX($C$94:$C$111,N$4-MAX($B80,Assumptions!$E$32)+1)))</f>
        <v>23.275</v>
      </c>
      <c r="O80" s="12" t="n">
        <f aca="false">IF(OR(O$4&lt;Assumptions!$E$32,O$4&lt;$B80),0,O58*IF(O$4&gt;=Assumptions!$E$33,INDEX($D$94:$D$111,O$4-MAX($B80,Assumptions!$E$32)+1),INDEX($C$94:$C$111,O$4-MAX($B80,Assumptions!$E$32)+1)))</f>
        <v>33.166875</v>
      </c>
      <c r="P80" s="12" t="n">
        <f aca="false">IF(OR(P$4&lt;Assumptions!$E$32,P$4&lt;$B80),0,P58*IF(P$4&gt;=Assumptions!$E$33,INDEX($D$94:$D$111,P$4-MAX($B80,Assumptions!$E$32)+1),INDEX($C$94:$C$111,P$4-MAX($B80,Assumptions!$E$32)+1)))</f>
        <v>52.51421875</v>
      </c>
      <c r="Q80" s="12" t="n">
        <f aca="false">IF(OR(Q$4&lt;Assumptions!$E$32,Q$4&lt;$B80),0,Q58*IF(Q$4&gt;=Assumptions!$E$33,INDEX($D$94:$D$111,Q$4-MAX($B80,Assumptions!$E$32)+1),INDEX($C$94:$C$111,Q$4-MAX($B80,Assumptions!$E$32)+1)))</f>
        <v>52.88181828125</v>
      </c>
      <c r="R80" s="12" t="n">
        <f aca="false">IF(OR(R$4&lt;Assumptions!$E$32,R$4&lt;$B80),0,R58*IF(R$4&gt;=Assumptions!$E$33,INDEX($D$94:$D$111,R$4-MAX($B80,Assumptions!$E$32)+1),INDEX($C$94:$C$111,R$4-MAX($B80,Assumptions!$E$32)+1)))</f>
        <v>50.2377273671875</v>
      </c>
      <c r="S80" s="12" t="n">
        <f aca="false">IF(OR(S$4&lt;Assumptions!$E$32,S$4&lt;$B80),0,S58*IF(S$4&gt;=Assumptions!$E$33,INDEX($D$94:$D$111,S$4-MAX($B80,Assumptions!$E$32)+1),INDEX($C$94:$C$111,S$4-MAX($B80,Assumptions!$E$32)+1)))</f>
        <v>47.7258409988281</v>
      </c>
      <c r="T80" s="12" t="n">
        <f aca="false">IF(OR(T$4&lt;Assumptions!$E$32,T$4&lt;$B80),0,T58*IF(T$4&gt;=Assumptions!$E$33,INDEX($D$94:$D$111,T$4-MAX($B80,Assumptions!$E$32)+1),INDEX($C$94:$C$111,T$4-MAX($B80,Assumptions!$E$32)+1)))</f>
        <v>50.4723280751758</v>
      </c>
      <c r="U80" s="12" t="n">
        <f aca="false">IF(OR(U$4&lt;Assumptions!$E$32,U$4&lt;$B80),0,U58*IF(U$4&gt;=Assumptions!$E$33,INDEX($D$94:$D$111,U$4-MAX($B80,Assumptions!$E$32)+1),INDEX($C$94:$C$111,U$4-MAX($B80,Assumptions!$E$32)+1)))</f>
        <v>47.948711671417</v>
      </c>
    </row>
    <row r="81" customFormat="false" ht="15" hidden="false" customHeight="false" outlineLevel="0" collapsed="false">
      <c r="A81" s="2" t="s">
        <v>276</v>
      </c>
      <c r="B81" s="15" t="n">
        <v>11</v>
      </c>
      <c r="D81" s="12" t="n">
        <f aca="false">IF(OR(D$4&lt;Assumptions!$E$32,D$4&lt;$B81),0,D59*IF(D$4&gt;=Assumptions!$E$33,INDEX($D$94:$D$111,D$4-MAX($B81,Assumptions!$E$32)+1),INDEX($C$94:$C$111,D$4-MAX($B81,Assumptions!$E$32)+1)))</f>
        <v>0</v>
      </c>
      <c r="E81" s="12" t="n">
        <f aca="false">IF(OR(E$4&lt;Assumptions!$E$32,E$4&lt;$B81),0,E59*IF(E$4&gt;=Assumptions!$E$33,INDEX($D$94:$D$111,E$4-MAX($B81,Assumptions!$E$32)+1),INDEX($C$94:$C$111,E$4-MAX($B81,Assumptions!$E$32)+1)))</f>
        <v>0</v>
      </c>
      <c r="F81" s="12" t="n">
        <f aca="false">IF(OR(F$4&lt;Assumptions!$E$32,F$4&lt;$B81),0,F59*IF(F$4&gt;=Assumptions!$E$33,INDEX($D$94:$D$111,F$4-MAX($B81,Assumptions!$E$32)+1),INDEX($C$94:$C$111,F$4-MAX($B81,Assumptions!$E$32)+1)))</f>
        <v>0</v>
      </c>
      <c r="G81" s="12" t="n">
        <f aca="false">IF(OR(G$4&lt;Assumptions!$E$32,G$4&lt;$B81),0,G59*IF(G$4&gt;=Assumptions!$E$33,INDEX($D$94:$D$111,G$4-MAX($B81,Assumptions!$E$32)+1),INDEX($C$94:$C$111,G$4-MAX($B81,Assumptions!$E$32)+1)))</f>
        <v>0</v>
      </c>
      <c r="H81" s="12" t="n">
        <f aca="false">IF(OR(H$4&lt;Assumptions!$E$32,H$4&lt;$B81),0,H59*IF(H$4&gt;=Assumptions!$E$33,INDEX($D$94:$D$111,H$4-MAX($B81,Assumptions!$E$32)+1),INDEX($C$94:$C$111,H$4-MAX($B81,Assumptions!$E$32)+1)))</f>
        <v>0</v>
      </c>
      <c r="I81" s="12" t="n">
        <f aca="false">IF(OR(I$4&lt;Assumptions!$E$32,I$4&lt;$B81),0,I59*IF(I$4&gt;=Assumptions!$E$33,INDEX($D$94:$D$111,I$4-MAX($B81,Assumptions!$E$32)+1),INDEX($C$94:$C$111,I$4-MAX($B81,Assumptions!$E$32)+1)))</f>
        <v>0</v>
      </c>
      <c r="J81" s="12" t="n">
        <f aca="false">IF(OR(J$4&lt;Assumptions!$E$32,J$4&lt;$B81),0,J59*IF(J$4&gt;=Assumptions!$E$33,INDEX($D$94:$D$111,J$4-MAX($B81,Assumptions!$E$32)+1),INDEX($C$94:$C$111,J$4-MAX($B81,Assumptions!$E$32)+1)))</f>
        <v>0</v>
      </c>
      <c r="K81" s="12" t="n">
        <f aca="false">IF(OR(K$4&lt;Assumptions!$E$32,K$4&lt;$B81),0,K59*IF(K$4&gt;=Assumptions!$E$33,INDEX($D$94:$D$111,K$4-MAX($B81,Assumptions!$E$32)+1),INDEX($C$94:$C$111,K$4-MAX($B81,Assumptions!$E$32)+1)))</f>
        <v>0</v>
      </c>
      <c r="L81" s="12" t="n">
        <f aca="false">IF(OR(L$4&lt;Assumptions!$E$32,L$4&lt;$B81),0,L59*IF(L$4&gt;=Assumptions!$E$33,INDEX($D$94:$D$111,L$4-MAX($B81,Assumptions!$E$32)+1),INDEX($C$94:$C$111,L$4-MAX($B81,Assumptions!$E$32)+1)))</f>
        <v>0</v>
      </c>
      <c r="M81" s="12" t="n">
        <f aca="false">IF(OR(M$4&lt;Assumptions!$E$32,M$4&lt;$B81),0,M59*IF(M$4&gt;=Assumptions!$E$33,INDEX($D$94:$D$111,M$4-MAX($B81,Assumptions!$E$32)+1),INDEX($C$94:$C$111,M$4-MAX($B81,Assumptions!$E$32)+1)))</f>
        <v>0</v>
      </c>
      <c r="N81" s="12" t="n">
        <f aca="false">IF(OR(N$4&lt;Assumptions!$E$32,N$4&lt;$B81),0,N59*IF(N$4&gt;=Assumptions!$E$33,INDEX($D$94:$D$111,N$4-MAX($B81,Assumptions!$E$32)+1),INDEX($C$94:$C$111,N$4-MAX($B81,Assumptions!$E$32)+1)))</f>
        <v>10.5</v>
      </c>
      <c r="O81" s="12" t="n">
        <f aca="false">IF(OR(O$4&lt;Assumptions!$E$32,O$4&lt;$B81),0,O59*IF(O$4&gt;=Assumptions!$E$33,INDEX($D$94:$D$111,O$4-MAX($B81,Assumptions!$E$32)+1),INDEX($C$94:$C$111,O$4-MAX($B81,Assumptions!$E$32)+1)))</f>
        <v>19.95</v>
      </c>
      <c r="P81" s="12" t="n">
        <f aca="false">IF(OR(P$4&lt;Assumptions!$E$32,P$4&lt;$B81),0,P59*IF(P$4&gt;=Assumptions!$E$33,INDEX($D$94:$D$111,P$4-MAX($B81,Assumptions!$E$32)+1),INDEX($C$94:$C$111,P$4-MAX($B81,Assumptions!$E$32)+1)))</f>
        <v>28.42875</v>
      </c>
      <c r="Q81" s="12" t="n">
        <f aca="false">IF(OR(Q$4&lt;Assumptions!$E$32,Q$4&lt;$B81),0,Q59*IF(Q$4&gt;=Assumptions!$E$33,INDEX($D$94:$D$111,Q$4-MAX($B81,Assumptions!$E$32)+1),INDEX($C$94:$C$111,Q$4-MAX($B81,Assumptions!$E$32)+1)))</f>
        <v>45.0121875</v>
      </c>
      <c r="R81" s="12" t="n">
        <f aca="false">IF(OR(R$4&lt;Assumptions!$E$32,R$4&lt;$B81),0,R59*IF(R$4&gt;=Assumptions!$E$33,INDEX($D$94:$D$111,R$4-MAX($B81,Assumptions!$E$32)+1),INDEX($C$94:$C$111,R$4-MAX($B81,Assumptions!$E$32)+1)))</f>
        <v>45.3272728125</v>
      </c>
      <c r="S81" s="12" t="n">
        <f aca="false">IF(OR(S$4&lt;Assumptions!$E$32,S$4&lt;$B81),0,S59*IF(S$4&gt;=Assumptions!$E$33,INDEX($D$94:$D$111,S$4-MAX($B81,Assumptions!$E$32)+1),INDEX($C$94:$C$111,S$4-MAX($B81,Assumptions!$E$32)+1)))</f>
        <v>43.060909171875</v>
      </c>
      <c r="T81" s="12" t="n">
        <f aca="false">IF(OR(T$4&lt;Assumptions!$E$32,T$4&lt;$B81),0,T59*IF(T$4&gt;=Assumptions!$E$33,INDEX($D$94:$D$111,T$4-MAX($B81,Assumptions!$E$32)+1),INDEX($C$94:$C$111,T$4-MAX($B81,Assumptions!$E$32)+1)))</f>
        <v>40.9078637132812</v>
      </c>
      <c r="U81" s="12" t="n">
        <f aca="false">IF(OR(U$4&lt;Assumptions!$E$32,U$4&lt;$B81),0,U59*IF(U$4&gt;=Assumptions!$E$33,INDEX($D$94:$D$111,U$4-MAX($B81,Assumptions!$E$32)+1),INDEX($C$94:$C$111,U$4-MAX($B81,Assumptions!$E$32)+1)))</f>
        <v>43.2619954930078</v>
      </c>
    </row>
    <row r="82" customFormat="false" ht="15" hidden="false" customHeight="false" outlineLevel="0" collapsed="false">
      <c r="A82" s="2" t="s">
        <v>277</v>
      </c>
      <c r="B82" s="15" t="n">
        <v>12</v>
      </c>
      <c r="D82" s="12" t="n">
        <f aca="false">IF(OR(D$4&lt;Assumptions!$E$32,D$4&lt;$B82),0,D60*IF(D$4&gt;=Assumptions!$E$33,INDEX($D$94:$D$111,D$4-MAX($B82,Assumptions!$E$32)+1),INDEX($C$94:$C$111,D$4-MAX($B82,Assumptions!$E$32)+1)))</f>
        <v>0</v>
      </c>
      <c r="E82" s="12" t="n">
        <f aca="false">IF(OR(E$4&lt;Assumptions!$E$32,E$4&lt;$B82),0,E60*IF(E$4&gt;=Assumptions!$E$33,INDEX($D$94:$D$111,E$4-MAX($B82,Assumptions!$E$32)+1),INDEX($C$94:$C$111,E$4-MAX($B82,Assumptions!$E$32)+1)))</f>
        <v>0</v>
      </c>
      <c r="F82" s="12" t="n">
        <f aca="false">IF(OR(F$4&lt;Assumptions!$E$32,F$4&lt;$B82),0,F60*IF(F$4&gt;=Assumptions!$E$33,INDEX($D$94:$D$111,F$4-MAX($B82,Assumptions!$E$32)+1),INDEX($C$94:$C$111,F$4-MAX($B82,Assumptions!$E$32)+1)))</f>
        <v>0</v>
      </c>
      <c r="G82" s="12" t="n">
        <f aca="false">IF(OR(G$4&lt;Assumptions!$E$32,G$4&lt;$B82),0,G60*IF(G$4&gt;=Assumptions!$E$33,INDEX($D$94:$D$111,G$4-MAX($B82,Assumptions!$E$32)+1),INDEX($C$94:$C$111,G$4-MAX($B82,Assumptions!$E$32)+1)))</f>
        <v>0</v>
      </c>
      <c r="H82" s="12" t="n">
        <f aca="false">IF(OR(H$4&lt;Assumptions!$E$32,H$4&lt;$B82),0,H60*IF(H$4&gt;=Assumptions!$E$33,INDEX($D$94:$D$111,H$4-MAX($B82,Assumptions!$E$32)+1),INDEX($C$94:$C$111,H$4-MAX($B82,Assumptions!$E$32)+1)))</f>
        <v>0</v>
      </c>
      <c r="I82" s="12" t="n">
        <f aca="false">IF(OR(I$4&lt;Assumptions!$E$32,I$4&lt;$B82),0,I60*IF(I$4&gt;=Assumptions!$E$33,INDEX($D$94:$D$111,I$4-MAX($B82,Assumptions!$E$32)+1),INDEX($C$94:$C$111,I$4-MAX($B82,Assumptions!$E$32)+1)))</f>
        <v>0</v>
      </c>
      <c r="J82" s="12" t="n">
        <f aca="false">IF(OR(J$4&lt;Assumptions!$E$32,J$4&lt;$B82),0,J60*IF(J$4&gt;=Assumptions!$E$33,INDEX($D$94:$D$111,J$4-MAX($B82,Assumptions!$E$32)+1),INDEX($C$94:$C$111,J$4-MAX($B82,Assumptions!$E$32)+1)))</f>
        <v>0</v>
      </c>
      <c r="K82" s="12" t="n">
        <f aca="false">IF(OR(K$4&lt;Assumptions!$E$32,K$4&lt;$B82),0,K60*IF(K$4&gt;=Assumptions!$E$33,INDEX($D$94:$D$111,K$4-MAX($B82,Assumptions!$E$32)+1),INDEX($C$94:$C$111,K$4-MAX($B82,Assumptions!$E$32)+1)))</f>
        <v>0</v>
      </c>
      <c r="L82" s="12" t="n">
        <f aca="false">IF(OR(L$4&lt;Assumptions!$E$32,L$4&lt;$B82),0,L60*IF(L$4&gt;=Assumptions!$E$33,INDEX($D$94:$D$111,L$4-MAX($B82,Assumptions!$E$32)+1),INDEX($C$94:$C$111,L$4-MAX($B82,Assumptions!$E$32)+1)))</f>
        <v>0</v>
      </c>
      <c r="M82" s="12" t="n">
        <f aca="false">IF(OR(M$4&lt;Assumptions!$E$32,M$4&lt;$B82),0,M60*IF(M$4&gt;=Assumptions!$E$33,INDEX($D$94:$D$111,M$4-MAX($B82,Assumptions!$E$32)+1),INDEX($C$94:$C$111,M$4-MAX($B82,Assumptions!$E$32)+1)))</f>
        <v>0</v>
      </c>
      <c r="N82" s="12" t="n">
        <f aca="false">IF(OR(N$4&lt;Assumptions!$E$32,N$4&lt;$B82),0,N60*IF(N$4&gt;=Assumptions!$E$33,INDEX($D$94:$D$111,N$4-MAX($B82,Assumptions!$E$32)+1),INDEX($C$94:$C$111,N$4-MAX($B82,Assumptions!$E$32)+1)))</f>
        <v>0</v>
      </c>
      <c r="O82" s="12" t="n">
        <f aca="false">IF(OR(O$4&lt;Assumptions!$E$32,O$4&lt;$B82),0,O60*IF(O$4&gt;=Assumptions!$E$33,INDEX($D$94:$D$111,O$4-MAX($B82,Assumptions!$E$32)+1),INDEX($C$94:$C$111,O$4-MAX($B82,Assumptions!$E$32)+1)))</f>
        <v>10.5</v>
      </c>
      <c r="P82" s="12" t="n">
        <f aca="false">IF(OR(P$4&lt;Assumptions!$E$32,P$4&lt;$B82),0,P60*IF(P$4&gt;=Assumptions!$E$33,INDEX($D$94:$D$111,P$4-MAX($B82,Assumptions!$E$32)+1),INDEX($C$94:$C$111,P$4-MAX($B82,Assumptions!$E$32)+1)))</f>
        <v>19.95</v>
      </c>
      <c r="Q82" s="12" t="n">
        <f aca="false">IF(OR(Q$4&lt;Assumptions!$E$32,Q$4&lt;$B82),0,Q60*IF(Q$4&gt;=Assumptions!$E$33,INDEX($D$94:$D$111,Q$4-MAX($B82,Assumptions!$E$32)+1),INDEX($C$94:$C$111,Q$4-MAX($B82,Assumptions!$E$32)+1)))</f>
        <v>28.42875</v>
      </c>
      <c r="R82" s="12" t="n">
        <f aca="false">IF(OR(R$4&lt;Assumptions!$E$32,R$4&lt;$B82),0,R60*IF(R$4&gt;=Assumptions!$E$33,INDEX($D$94:$D$111,R$4-MAX($B82,Assumptions!$E$32)+1),INDEX($C$94:$C$111,R$4-MAX($B82,Assumptions!$E$32)+1)))</f>
        <v>45.0121875</v>
      </c>
      <c r="S82" s="12" t="n">
        <f aca="false">IF(OR(S$4&lt;Assumptions!$E$32,S$4&lt;$B82),0,S60*IF(S$4&gt;=Assumptions!$E$33,INDEX($D$94:$D$111,S$4-MAX($B82,Assumptions!$E$32)+1),INDEX($C$94:$C$111,S$4-MAX($B82,Assumptions!$E$32)+1)))</f>
        <v>45.3272728125</v>
      </c>
      <c r="T82" s="12" t="n">
        <f aca="false">IF(OR(T$4&lt;Assumptions!$E$32,T$4&lt;$B82),0,T60*IF(T$4&gt;=Assumptions!$E$33,INDEX($D$94:$D$111,T$4-MAX($B82,Assumptions!$E$32)+1),INDEX($C$94:$C$111,T$4-MAX($B82,Assumptions!$E$32)+1)))</f>
        <v>43.060909171875</v>
      </c>
      <c r="U82" s="12" t="n">
        <f aca="false">IF(OR(U$4&lt;Assumptions!$E$32,U$4&lt;$B82),0,U60*IF(U$4&gt;=Assumptions!$E$33,INDEX($D$94:$D$111,U$4-MAX($B82,Assumptions!$E$32)+1),INDEX($C$94:$C$111,U$4-MAX($B82,Assumptions!$E$32)+1)))</f>
        <v>40.9078637132812</v>
      </c>
    </row>
    <row r="83" customFormat="false" ht="15" hidden="false" customHeight="false" outlineLevel="0" collapsed="false">
      <c r="A83" s="2" t="s">
        <v>278</v>
      </c>
      <c r="B83" s="15" t="n">
        <v>13</v>
      </c>
      <c r="D83" s="12" t="n">
        <f aca="false">IF(OR(D$4&lt;Assumptions!$E$32,D$4&lt;$B83),0,D61*IF(D$4&gt;=Assumptions!$E$33,INDEX($D$94:$D$111,D$4-MAX($B83,Assumptions!$E$32)+1),INDEX($C$94:$C$111,D$4-MAX($B83,Assumptions!$E$32)+1)))</f>
        <v>0</v>
      </c>
      <c r="E83" s="12" t="n">
        <f aca="false">IF(OR(E$4&lt;Assumptions!$E$32,E$4&lt;$B83),0,E61*IF(E$4&gt;=Assumptions!$E$33,INDEX($D$94:$D$111,E$4-MAX($B83,Assumptions!$E$32)+1),INDEX($C$94:$C$111,E$4-MAX($B83,Assumptions!$E$32)+1)))</f>
        <v>0</v>
      </c>
      <c r="F83" s="12" t="n">
        <f aca="false">IF(OR(F$4&lt;Assumptions!$E$32,F$4&lt;$B83),0,F61*IF(F$4&gt;=Assumptions!$E$33,INDEX($D$94:$D$111,F$4-MAX($B83,Assumptions!$E$32)+1),INDEX($C$94:$C$111,F$4-MAX($B83,Assumptions!$E$32)+1)))</f>
        <v>0</v>
      </c>
      <c r="G83" s="12" t="n">
        <f aca="false">IF(OR(G$4&lt;Assumptions!$E$32,G$4&lt;$B83),0,G61*IF(G$4&gt;=Assumptions!$E$33,INDEX($D$94:$D$111,G$4-MAX($B83,Assumptions!$E$32)+1),INDEX($C$94:$C$111,G$4-MAX($B83,Assumptions!$E$32)+1)))</f>
        <v>0</v>
      </c>
      <c r="H83" s="12" t="n">
        <f aca="false">IF(OR(H$4&lt;Assumptions!$E$32,H$4&lt;$B83),0,H61*IF(H$4&gt;=Assumptions!$E$33,INDEX($D$94:$D$111,H$4-MAX($B83,Assumptions!$E$32)+1),INDEX($C$94:$C$111,H$4-MAX($B83,Assumptions!$E$32)+1)))</f>
        <v>0</v>
      </c>
      <c r="I83" s="12" t="n">
        <f aca="false">IF(OR(I$4&lt;Assumptions!$E$32,I$4&lt;$B83),0,I61*IF(I$4&gt;=Assumptions!$E$33,INDEX($D$94:$D$111,I$4-MAX($B83,Assumptions!$E$32)+1),INDEX($C$94:$C$111,I$4-MAX($B83,Assumptions!$E$32)+1)))</f>
        <v>0</v>
      </c>
      <c r="J83" s="12" t="n">
        <f aca="false">IF(OR(J$4&lt;Assumptions!$E$32,J$4&lt;$B83),0,J61*IF(J$4&gt;=Assumptions!$E$33,INDEX($D$94:$D$111,J$4-MAX($B83,Assumptions!$E$32)+1),INDEX($C$94:$C$111,J$4-MAX($B83,Assumptions!$E$32)+1)))</f>
        <v>0</v>
      </c>
      <c r="K83" s="12" t="n">
        <f aca="false">IF(OR(K$4&lt;Assumptions!$E$32,K$4&lt;$B83),0,K61*IF(K$4&gt;=Assumptions!$E$33,INDEX($D$94:$D$111,K$4-MAX($B83,Assumptions!$E$32)+1),INDEX($C$94:$C$111,K$4-MAX($B83,Assumptions!$E$32)+1)))</f>
        <v>0</v>
      </c>
      <c r="L83" s="12" t="n">
        <f aca="false">IF(OR(L$4&lt;Assumptions!$E$32,L$4&lt;$B83),0,L61*IF(L$4&gt;=Assumptions!$E$33,INDEX($D$94:$D$111,L$4-MAX($B83,Assumptions!$E$32)+1),INDEX($C$94:$C$111,L$4-MAX($B83,Assumptions!$E$32)+1)))</f>
        <v>0</v>
      </c>
      <c r="M83" s="12" t="n">
        <f aca="false">IF(OR(M$4&lt;Assumptions!$E$32,M$4&lt;$B83),0,M61*IF(M$4&gt;=Assumptions!$E$33,INDEX($D$94:$D$111,M$4-MAX($B83,Assumptions!$E$32)+1),INDEX($C$94:$C$111,M$4-MAX($B83,Assumptions!$E$32)+1)))</f>
        <v>0</v>
      </c>
      <c r="N83" s="12" t="n">
        <f aca="false">IF(OR(N$4&lt;Assumptions!$E$32,N$4&lt;$B83),0,N61*IF(N$4&gt;=Assumptions!$E$33,INDEX($D$94:$D$111,N$4-MAX($B83,Assumptions!$E$32)+1),INDEX($C$94:$C$111,N$4-MAX($B83,Assumptions!$E$32)+1)))</f>
        <v>0</v>
      </c>
      <c r="O83" s="12" t="n">
        <f aca="false">IF(OR(O$4&lt;Assumptions!$E$32,O$4&lt;$B83),0,O61*IF(O$4&gt;=Assumptions!$E$33,INDEX($D$94:$D$111,O$4-MAX($B83,Assumptions!$E$32)+1),INDEX($C$94:$C$111,O$4-MAX($B83,Assumptions!$E$32)+1)))</f>
        <v>0</v>
      </c>
      <c r="P83" s="12" t="n">
        <f aca="false">IF(OR(P$4&lt;Assumptions!$E$32,P$4&lt;$B83),0,P61*IF(P$4&gt;=Assumptions!$E$33,INDEX($D$94:$D$111,P$4-MAX($B83,Assumptions!$E$32)+1),INDEX($C$94:$C$111,P$4-MAX($B83,Assumptions!$E$32)+1)))</f>
        <v>10.5</v>
      </c>
      <c r="Q83" s="12" t="n">
        <f aca="false">IF(OR(Q$4&lt;Assumptions!$E$32,Q$4&lt;$B83),0,Q61*IF(Q$4&gt;=Assumptions!$E$33,INDEX($D$94:$D$111,Q$4-MAX($B83,Assumptions!$E$32)+1),INDEX($C$94:$C$111,Q$4-MAX($B83,Assumptions!$E$32)+1)))</f>
        <v>19.95</v>
      </c>
      <c r="R83" s="12" t="n">
        <f aca="false">IF(OR(R$4&lt;Assumptions!$E$32,R$4&lt;$B83),0,R61*IF(R$4&gt;=Assumptions!$E$33,INDEX($D$94:$D$111,R$4-MAX($B83,Assumptions!$E$32)+1),INDEX($C$94:$C$111,R$4-MAX($B83,Assumptions!$E$32)+1)))</f>
        <v>28.42875</v>
      </c>
      <c r="S83" s="12" t="n">
        <f aca="false">IF(OR(S$4&lt;Assumptions!$E$32,S$4&lt;$B83),0,S61*IF(S$4&gt;=Assumptions!$E$33,INDEX($D$94:$D$111,S$4-MAX($B83,Assumptions!$E$32)+1),INDEX($C$94:$C$111,S$4-MAX($B83,Assumptions!$E$32)+1)))</f>
        <v>45.0121875</v>
      </c>
      <c r="T83" s="12" t="n">
        <f aca="false">IF(OR(T$4&lt;Assumptions!$E$32,T$4&lt;$B83),0,T61*IF(T$4&gt;=Assumptions!$E$33,INDEX($D$94:$D$111,T$4-MAX($B83,Assumptions!$E$32)+1),INDEX($C$94:$C$111,T$4-MAX($B83,Assumptions!$E$32)+1)))</f>
        <v>45.3272728125</v>
      </c>
      <c r="U83" s="12" t="n">
        <f aca="false">IF(OR(U$4&lt;Assumptions!$E$32,U$4&lt;$B83),0,U61*IF(U$4&gt;=Assumptions!$E$33,INDEX($D$94:$D$111,U$4-MAX($B83,Assumptions!$E$32)+1),INDEX($C$94:$C$111,U$4-MAX($B83,Assumptions!$E$32)+1)))</f>
        <v>43.060909171875</v>
      </c>
    </row>
    <row r="84" customFormat="false" ht="15" hidden="false" customHeight="false" outlineLevel="0" collapsed="false">
      <c r="A84" s="2" t="s">
        <v>279</v>
      </c>
      <c r="B84" s="15" t="n">
        <v>14</v>
      </c>
      <c r="D84" s="12" t="n">
        <f aca="false">IF(OR(D$4&lt;Assumptions!$E$32,D$4&lt;$B84),0,D62*IF(D$4&gt;=Assumptions!$E$33,INDEX($D$94:$D$111,D$4-MAX($B84,Assumptions!$E$32)+1),INDEX($C$94:$C$111,D$4-MAX($B84,Assumptions!$E$32)+1)))</f>
        <v>0</v>
      </c>
      <c r="E84" s="12" t="n">
        <f aca="false">IF(OR(E$4&lt;Assumptions!$E$32,E$4&lt;$B84),0,E62*IF(E$4&gt;=Assumptions!$E$33,INDEX($D$94:$D$111,E$4-MAX($B84,Assumptions!$E$32)+1),INDEX($C$94:$C$111,E$4-MAX($B84,Assumptions!$E$32)+1)))</f>
        <v>0</v>
      </c>
      <c r="F84" s="12" t="n">
        <f aca="false">IF(OR(F$4&lt;Assumptions!$E$32,F$4&lt;$B84),0,F62*IF(F$4&gt;=Assumptions!$E$33,INDEX($D$94:$D$111,F$4-MAX($B84,Assumptions!$E$32)+1),INDEX($C$94:$C$111,F$4-MAX($B84,Assumptions!$E$32)+1)))</f>
        <v>0</v>
      </c>
      <c r="G84" s="12" t="n">
        <f aca="false">IF(OR(G$4&lt;Assumptions!$E$32,G$4&lt;$B84),0,G62*IF(G$4&gt;=Assumptions!$E$33,INDEX($D$94:$D$111,G$4-MAX($B84,Assumptions!$E$32)+1),INDEX($C$94:$C$111,G$4-MAX($B84,Assumptions!$E$32)+1)))</f>
        <v>0</v>
      </c>
      <c r="H84" s="12" t="n">
        <f aca="false">IF(OR(H$4&lt;Assumptions!$E$32,H$4&lt;$B84),0,H62*IF(H$4&gt;=Assumptions!$E$33,INDEX($D$94:$D$111,H$4-MAX($B84,Assumptions!$E$32)+1),INDEX($C$94:$C$111,H$4-MAX($B84,Assumptions!$E$32)+1)))</f>
        <v>0</v>
      </c>
      <c r="I84" s="12" t="n">
        <f aca="false">IF(OR(I$4&lt;Assumptions!$E$32,I$4&lt;$B84),0,I62*IF(I$4&gt;=Assumptions!$E$33,INDEX($D$94:$D$111,I$4-MAX($B84,Assumptions!$E$32)+1),INDEX($C$94:$C$111,I$4-MAX($B84,Assumptions!$E$32)+1)))</f>
        <v>0</v>
      </c>
      <c r="J84" s="12" t="n">
        <f aca="false">IF(OR(J$4&lt;Assumptions!$E$32,J$4&lt;$B84),0,J62*IF(J$4&gt;=Assumptions!$E$33,INDEX($D$94:$D$111,J$4-MAX($B84,Assumptions!$E$32)+1),INDEX($C$94:$C$111,J$4-MAX($B84,Assumptions!$E$32)+1)))</f>
        <v>0</v>
      </c>
      <c r="K84" s="12" t="n">
        <f aca="false">IF(OR(K$4&lt;Assumptions!$E$32,K$4&lt;$B84),0,K62*IF(K$4&gt;=Assumptions!$E$33,INDEX($D$94:$D$111,K$4-MAX($B84,Assumptions!$E$32)+1),INDEX($C$94:$C$111,K$4-MAX($B84,Assumptions!$E$32)+1)))</f>
        <v>0</v>
      </c>
      <c r="L84" s="12" t="n">
        <f aca="false">IF(OR(L$4&lt;Assumptions!$E$32,L$4&lt;$B84),0,L62*IF(L$4&gt;=Assumptions!$E$33,INDEX($D$94:$D$111,L$4-MAX($B84,Assumptions!$E$32)+1),INDEX($C$94:$C$111,L$4-MAX($B84,Assumptions!$E$32)+1)))</f>
        <v>0</v>
      </c>
      <c r="M84" s="12" t="n">
        <f aca="false">IF(OR(M$4&lt;Assumptions!$E$32,M$4&lt;$B84),0,M62*IF(M$4&gt;=Assumptions!$E$33,INDEX($D$94:$D$111,M$4-MAX($B84,Assumptions!$E$32)+1),INDEX($C$94:$C$111,M$4-MAX($B84,Assumptions!$E$32)+1)))</f>
        <v>0</v>
      </c>
      <c r="N84" s="12" t="n">
        <f aca="false">IF(OR(N$4&lt;Assumptions!$E$32,N$4&lt;$B84),0,N62*IF(N$4&gt;=Assumptions!$E$33,INDEX($D$94:$D$111,N$4-MAX($B84,Assumptions!$E$32)+1),INDEX($C$94:$C$111,N$4-MAX($B84,Assumptions!$E$32)+1)))</f>
        <v>0</v>
      </c>
      <c r="O84" s="12" t="n">
        <f aca="false">IF(OR(O$4&lt;Assumptions!$E$32,O$4&lt;$B84),0,O62*IF(O$4&gt;=Assumptions!$E$33,INDEX($D$94:$D$111,O$4-MAX($B84,Assumptions!$E$32)+1),INDEX($C$94:$C$111,O$4-MAX($B84,Assumptions!$E$32)+1)))</f>
        <v>0</v>
      </c>
      <c r="P84" s="12" t="n">
        <f aca="false">IF(OR(P$4&lt;Assumptions!$E$32,P$4&lt;$B84),0,P62*IF(P$4&gt;=Assumptions!$E$33,INDEX($D$94:$D$111,P$4-MAX($B84,Assumptions!$E$32)+1),INDEX($C$94:$C$111,P$4-MAX($B84,Assumptions!$E$32)+1)))</f>
        <v>0</v>
      </c>
      <c r="Q84" s="12" t="n">
        <f aca="false">IF(OR(Q$4&lt;Assumptions!$E$32,Q$4&lt;$B84),0,Q62*IF(Q$4&gt;=Assumptions!$E$33,INDEX($D$94:$D$111,Q$4-MAX($B84,Assumptions!$E$32)+1),INDEX($C$94:$C$111,Q$4-MAX($B84,Assumptions!$E$32)+1)))</f>
        <v>8.75</v>
      </c>
      <c r="R84" s="12" t="n">
        <f aca="false">IF(OR(R$4&lt;Assumptions!$E$32,R$4&lt;$B84),0,R62*IF(R$4&gt;=Assumptions!$E$33,INDEX($D$94:$D$111,R$4-MAX($B84,Assumptions!$E$32)+1),INDEX($C$94:$C$111,R$4-MAX($B84,Assumptions!$E$32)+1)))</f>
        <v>16.625</v>
      </c>
      <c r="S84" s="12" t="n">
        <f aca="false">IF(OR(S$4&lt;Assumptions!$E$32,S$4&lt;$B84),0,S62*IF(S$4&gt;=Assumptions!$E$33,INDEX($D$94:$D$111,S$4-MAX($B84,Assumptions!$E$32)+1),INDEX($C$94:$C$111,S$4-MAX($B84,Assumptions!$E$32)+1)))</f>
        <v>23.690625</v>
      </c>
      <c r="T84" s="12" t="n">
        <f aca="false">IF(OR(T$4&lt;Assumptions!$E$32,T$4&lt;$B84),0,T62*IF(T$4&gt;=Assumptions!$E$33,INDEX($D$94:$D$111,T$4-MAX($B84,Assumptions!$E$32)+1),INDEX($C$94:$C$111,T$4-MAX($B84,Assumptions!$E$32)+1)))</f>
        <v>37.51015625</v>
      </c>
      <c r="U84" s="12" t="n">
        <f aca="false">IF(OR(U$4&lt;Assumptions!$E$32,U$4&lt;$B84),0,U62*IF(U$4&gt;=Assumptions!$E$33,INDEX($D$94:$D$111,U$4-MAX($B84,Assumptions!$E$32)+1),INDEX($C$94:$C$111,U$4-MAX($B84,Assumptions!$E$32)+1)))</f>
        <v>37.77272734375</v>
      </c>
    </row>
    <row r="85" customFormat="false" ht="15" hidden="false" customHeight="false" outlineLevel="0" collapsed="false">
      <c r="A85" s="2" t="s">
        <v>280</v>
      </c>
      <c r="B85" s="15" t="n">
        <v>15</v>
      </c>
      <c r="D85" s="12" t="n">
        <f aca="false">IF(OR(D$4&lt;Assumptions!$E$32,D$4&lt;$B85),0,D63*IF(D$4&gt;=Assumptions!$E$33,INDEX($D$94:$D$111,D$4-MAX($B85,Assumptions!$E$32)+1),INDEX($C$94:$C$111,D$4-MAX($B85,Assumptions!$E$32)+1)))</f>
        <v>0</v>
      </c>
      <c r="E85" s="12" t="n">
        <f aca="false">IF(OR(E$4&lt;Assumptions!$E$32,E$4&lt;$B85),0,E63*IF(E$4&gt;=Assumptions!$E$33,INDEX($D$94:$D$111,E$4-MAX($B85,Assumptions!$E$32)+1),INDEX($C$94:$C$111,E$4-MAX($B85,Assumptions!$E$32)+1)))</f>
        <v>0</v>
      </c>
      <c r="F85" s="12" t="n">
        <f aca="false">IF(OR(F$4&lt;Assumptions!$E$32,F$4&lt;$B85),0,F63*IF(F$4&gt;=Assumptions!$E$33,INDEX($D$94:$D$111,F$4-MAX($B85,Assumptions!$E$32)+1),INDEX($C$94:$C$111,F$4-MAX($B85,Assumptions!$E$32)+1)))</f>
        <v>0</v>
      </c>
      <c r="G85" s="12" t="n">
        <f aca="false">IF(OR(G$4&lt;Assumptions!$E$32,G$4&lt;$B85),0,G63*IF(G$4&gt;=Assumptions!$E$33,INDEX($D$94:$D$111,G$4-MAX($B85,Assumptions!$E$32)+1),INDEX($C$94:$C$111,G$4-MAX($B85,Assumptions!$E$32)+1)))</f>
        <v>0</v>
      </c>
      <c r="H85" s="12" t="n">
        <f aca="false">IF(OR(H$4&lt;Assumptions!$E$32,H$4&lt;$B85),0,H63*IF(H$4&gt;=Assumptions!$E$33,INDEX($D$94:$D$111,H$4-MAX($B85,Assumptions!$E$32)+1),INDEX($C$94:$C$111,H$4-MAX($B85,Assumptions!$E$32)+1)))</f>
        <v>0</v>
      </c>
      <c r="I85" s="12" t="n">
        <f aca="false">IF(OR(I$4&lt;Assumptions!$E$32,I$4&lt;$B85),0,I63*IF(I$4&gt;=Assumptions!$E$33,INDEX($D$94:$D$111,I$4-MAX($B85,Assumptions!$E$32)+1),INDEX($C$94:$C$111,I$4-MAX($B85,Assumptions!$E$32)+1)))</f>
        <v>0</v>
      </c>
      <c r="J85" s="12" t="n">
        <f aca="false">IF(OR(J$4&lt;Assumptions!$E$32,J$4&lt;$B85),0,J63*IF(J$4&gt;=Assumptions!$E$33,INDEX($D$94:$D$111,J$4-MAX($B85,Assumptions!$E$32)+1),INDEX($C$94:$C$111,J$4-MAX($B85,Assumptions!$E$32)+1)))</f>
        <v>0</v>
      </c>
      <c r="K85" s="12" t="n">
        <f aca="false">IF(OR(K$4&lt;Assumptions!$E$32,K$4&lt;$B85),0,K63*IF(K$4&gt;=Assumptions!$E$33,INDEX($D$94:$D$111,K$4-MAX($B85,Assumptions!$E$32)+1),INDEX($C$94:$C$111,K$4-MAX($B85,Assumptions!$E$32)+1)))</f>
        <v>0</v>
      </c>
      <c r="L85" s="12" t="n">
        <f aca="false">IF(OR(L$4&lt;Assumptions!$E$32,L$4&lt;$B85),0,L63*IF(L$4&gt;=Assumptions!$E$33,INDEX($D$94:$D$111,L$4-MAX($B85,Assumptions!$E$32)+1),INDEX($C$94:$C$111,L$4-MAX($B85,Assumptions!$E$32)+1)))</f>
        <v>0</v>
      </c>
      <c r="M85" s="12" t="n">
        <f aca="false">IF(OR(M$4&lt;Assumptions!$E$32,M$4&lt;$B85),0,M63*IF(M$4&gt;=Assumptions!$E$33,INDEX($D$94:$D$111,M$4-MAX($B85,Assumptions!$E$32)+1),INDEX($C$94:$C$111,M$4-MAX($B85,Assumptions!$E$32)+1)))</f>
        <v>0</v>
      </c>
      <c r="N85" s="12" t="n">
        <f aca="false">IF(OR(N$4&lt;Assumptions!$E$32,N$4&lt;$B85),0,N63*IF(N$4&gt;=Assumptions!$E$33,INDEX($D$94:$D$111,N$4-MAX($B85,Assumptions!$E$32)+1),INDEX($C$94:$C$111,N$4-MAX($B85,Assumptions!$E$32)+1)))</f>
        <v>0</v>
      </c>
      <c r="O85" s="12" t="n">
        <f aca="false">IF(OR(O$4&lt;Assumptions!$E$32,O$4&lt;$B85),0,O63*IF(O$4&gt;=Assumptions!$E$33,INDEX($D$94:$D$111,O$4-MAX($B85,Assumptions!$E$32)+1),INDEX($C$94:$C$111,O$4-MAX($B85,Assumptions!$E$32)+1)))</f>
        <v>0</v>
      </c>
      <c r="P85" s="12" t="n">
        <f aca="false">IF(OR(P$4&lt;Assumptions!$E$32,P$4&lt;$B85),0,P63*IF(P$4&gt;=Assumptions!$E$33,INDEX($D$94:$D$111,P$4-MAX($B85,Assumptions!$E$32)+1),INDEX($C$94:$C$111,P$4-MAX($B85,Assumptions!$E$32)+1)))</f>
        <v>0</v>
      </c>
      <c r="Q85" s="12" t="n">
        <f aca="false">IF(OR(Q$4&lt;Assumptions!$E$32,Q$4&lt;$B85),0,Q63*IF(Q$4&gt;=Assumptions!$E$33,INDEX($D$94:$D$111,Q$4-MAX($B85,Assumptions!$E$32)+1),INDEX($C$94:$C$111,Q$4-MAX($B85,Assumptions!$E$32)+1)))</f>
        <v>0</v>
      </c>
      <c r="R85" s="12" t="n">
        <f aca="false">IF(OR(R$4&lt;Assumptions!$E$32,R$4&lt;$B85),0,R63*IF(R$4&gt;=Assumptions!$E$33,INDEX($D$94:$D$111,R$4-MAX($B85,Assumptions!$E$32)+1),INDEX($C$94:$C$111,R$4-MAX($B85,Assumptions!$E$32)+1)))</f>
        <v>8.75</v>
      </c>
      <c r="S85" s="12" t="n">
        <f aca="false">IF(OR(S$4&lt;Assumptions!$E$32,S$4&lt;$B85),0,S63*IF(S$4&gt;=Assumptions!$E$33,INDEX($D$94:$D$111,S$4-MAX($B85,Assumptions!$E$32)+1),INDEX($C$94:$C$111,S$4-MAX($B85,Assumptions!$E$32)+1)))</f>
        <v>16.625</v>
      </c>
      <c r="T85" s="12" t="n">
        <f aca="false">IF(OR(T$4&lt;Assumptions!$E$32,T$4&lt;$B85),0,T63*IF(T$4&gt;=Assumptions!$E$33,INDEX($D$94:$D$111,T$4-MAX($B85,Assumptions!$E$32)+1),INDEX($C$94:$C$111,T$4-MAX($B85,Assumptions!$E$32)+1)))</f>
        <v>23.690625</v>
      </c>
      <c r="U85" s="12" t="n">
        <f aca="false">IF(OR(U$4&lt;Assumptions!$E$32,U$4&lt;$B85),0,U63*IF(U$4&gt;=Assumptions!$E$33,INDEX($D$94:$D$111,U$4-MAX($B85,Assumptions!$E$32)+1),INDEX($C$94:$C$111,U$4-MAX($B85,Assumptions!$E$32)+1)))</f>
        <v>37.51015625</v>
      </c>
    </row>
    <row r="86" customFormat="false" ht="15" hidden="false" customHeight="false" outlineLevel="0" collapsed="false">
      <c r="A86" s="2" t="s">
        <v>281</v>
      </c>
      <c r="B86" s="15" t="n">
        <v>16</v>
      </c>
      <c r="D86" s="12" t="n">
        <f aca="false">IF(OR(D$4&lt;Assumptions!$E$32,D$4&lt;$B86),0,D64*IF(D$4&gt;=Assumptions!$E$33,INDEX($D$94:$D$111,D$4-MAX($B86,Assumptions!$E$32)+1),INDEX($C$94:$C$111,D$4-MAX($B86,Assumptions!$E$32)+1)))</f>
        <v>0</v>
      </c>
      <c r="E86" s="12" t="n">
        <f aca="false">IF(OR(E$4&lt;Assumptions!$E$32,E$4&lt;$B86),0,E64*IF(E$4&gt;=Assumptions!$E$33,INDEX($D$94:$D$111,E$4-MAX($B86,Assumptions!$E$32)+1),INDEX($C$94:$C$111,E$4-MAX($B86,Assumptions!$E$32)+1)))</f>
        <v>0</v>
      </c>
      <c r="F86" s="12" t="n">
        <f aca="false">IF(OR(F$4&lt;Assumptions!$E$32,F$4&lt;$B86),0,F64*IF(F$4&gt;=Assumptions!$E$33,INDEX($D$94:$D$111,F$4-MAX($B86,Assumptions!$E$32)+1),INDEX($C$94:$C$111,F$4-MAX($B86,Assumptions!$E$32)+1)))</f>
        <v>0</v>
      </c>
      <c r="G86" s="12" t="n">
        <f aca="false">IF(OR(G$4&lt;Assumptions!$E$32,G$4&lt;$B86),0,G64*IF(G$4&gt;=Assumptions!$E$33,INDEX($D$94:$D$111,G$4-MAX($B86,Assumptions!$E$32)+1),INDEX($C$94:$C$111,G$4-MAX($B86,Assumptions!$E$32)+1)))</f>
        <v>0</v>
      </c>
      <c r="H86" s="12" t="n">
        <f aca="false">IF(OR(H$4&lt;Assumptions!$E$32,H$4&lt;$B86),0,H64*IF(H$4&gt;=Assumptions!$E$33,INDEX($D$94:$D$111,H$4-MAX($B86,Assumptions!$E$32)+1),INDEX($C$94:$C$111,H$4-MAX($B86,Assumptions!$E$32)+1)))</f>
        <v>0</v>
      </c>
      <c r="I86" s="12" t="n">
        <f aca="false">IF(OR(I$4&lt;Assumptions!$E$32,I$4&lt;$B86),0,I64*IF(I$4&gt;=Assumptions!$E$33,INDEX($D$94:$D$111,I$4-MAX($B86,Assumptions!$E$32)+1),INDEX($C$94:$C$111,I$4-MAX($B86,Assumptions!$E$32)+1)))</f>
        <v>0</v>
      </c>
      <c r="J86" s="12" t="n">
        <f aca="false">IF(OR(J$4&lt;Assumptions!$E$32,J$4&lt;$B86),0,J64*IF(J$4&gt;=Assumptions!$E$33,INDEX($D$94:$D$111,J$4-MAX($B86,Assumptions!$E$32)+1),INDEX($C$94:$C$111,J$4-MAX($B86,Assumptions!$E$32)+1)))</f>
        <v>0</v>
      </c>
      <c r="K86" s="12" t="n">
        <f aca="false">IF(OR(K$4&lt;Assumptions!$E$32,K$4&lt;$B86),0,K64*IF(K$4&gt;=Assumptions!$E$33,INDEX($D$94:$D$111,K$4-MAX($B86,Assumptions!$E$32)+1),INDEX($C$94:$C$111,K$4-MAX($B86,Assumptions!$E$32)+1)))</f>
        <v>0</v>
      </c>
      <c r="L86" s="12" t="n">
        <f aca="false">IF(OR(L$4&lt;Assumptions!$E$32,L$4&lt;$B86),0,L64*IF(L$4&gt;=Assumptions!$E$33,INDEX($D$94:$D$111,L$4-MAX($B86,Assumptions!$E$32)+1),INDEX($C$94:$C$111,L$4-MAX($B86,Assumptions!$E$32)+1)))</f>
        <v>0</v>
      </c>
      <c r="M86" s="12" t="n">
        <f aca="false">IF(OR(M$4&lt;Assumptions!$E$32,M$4&lt;$B86),0,M64*IF(M$4&gt;=Assumptions!$E$33,INDEX($D$94:$D$111,M$4-MAX($B86,Assumptions!$E$32)+1),INDEX($C$94:$C$111,M$4-MAX($B86,Assumptions!$E$32)+1)))</f>
        <v>0</v>
      </c>
      <c r="N86" s="12" t="n">
        <f aca="false">IF(OR(N$4&lt;Assumptions!$E$32,N$4&lt;$B86),0,N64*IF(N$4&gt;=Assumptions!$E$33,INDEX($D$94:$D$111,N$4-MAX($B86,Assumptions!$E$32)+1),INDEX($C$94:$C$111,N$4-MAX($B86,Assumptions!$E$32)+1)))</f>
        <v>0</v>
      </c>
      <c r="O86" s="12" t="n">
        <f aca="false">IF(OR(O$4&lt;Assumptions!$E$32,O$4&lt;$B86),0,O64*IF(O$4&gt;=Assumptions!$E$33,INDEX($D$94:$D$111,O$4-MAX($B86,Assumptions!$E$32)+1),INDEX($C$94:$C$111,O$4-MAX($B86,Assumptions!$E$32)+1)))</f>
        <v>0</v>
      </c>
      <c r="P86" s="12" t="n">
        <f aca="false">IF(OR(P$4&lt;Assumptions!$E$32,P$4&lt;$B86),0,P64*IF(P$4&gt;=Assumptions!$E$33,INDEX($D$94:$D$111,P$4-MAX($B86,Assumptions!$E$32)+1),INDEX($C$94:$C$111,P$4-MAX($B86,Assumptions!$E$32)+1)))</f>
        <v>0</v>
      </c>
      <c r="Q86" s="12" t="n">
        <f aca="false">IF(OR(Q$4&lt;Assumptions!$E$32,Q$4&lt;$B86),0,Q64*IF(Q$4&gt;=Assumptions!$E$33,INDEX($D$94:$D$111,Q$4-MAX($B86,Assumptions!$E$32)+1),INDEX($C$94:$C$111,Q$4-MAX($B86,Assumptions!$E$32)+1)))</f>
        <v>0</v>
      </c>
      <c r="R86" s="12" t="n">
        <f aca="false">IF(OR(R$4&lt;Assumptions!$E$32,R$4&lt;$B86),0,R64*IF(R$4&gt;=Assumptions!$E$33,INDEX($D$94:$D$111,R$4-MAX($B86,Assumptions!$E$32)+1),INDEX($C$94:$C$111,R$4-MAX($B86,Assumptions!$E$32)+1)))</f>
        <v>0</v>
      </c>
      <c r="S86" s="12" t="n">
        <f aca="false">IF(OR(S$4&lt;Assumptions!$E$32,S$4&lt;$B86),0,S64*IF(S$4&gt;=Assumptions!$E$33,INDEX($D$94:$D$111,S$4-MAX($B86,Assumptions!$E$32)+1),INDEX($C$94:$C$111,S$4-MAX($B86,Assumptions!$E$32)+1)))</f>
        <v>8.75</v>
      </c>
      <c r="T86" s="12" t="n">
        <f aca="false">IF(OR(T$4&lt;Assumptions!$E$32,T$4&lt;$B86),0,T64*IF(T$4&gt;=Assumptions!$E$33,INDEX($D$94:$D$111,T$4-MAX($B86,Assumptions!$E$32)+1),INDEX($C$94:$C$111,T$4-MAX($B86,Assumptions!$E$32)+1)))</f>
        <v>16.625</v>
      </c>
      <c r="U86" s="12" t="n">
        <f aca="false">IF(OR(U$4&lt;Assumptions!$E$32,U$4&lt;$B86),0,U64*IF(U$4&gt;=Assumptions!$E$33,INDEX($D$94:$D$111,U$4-MAX($B86,Assumptions!$E$32)+1),INDEX($C$94:$C$111,U$4-MAX($B86,Assumptions!$E$32)+1)))</f>
        <v>23.690625</v>
      </c>
    </row>
    <row r="87" customFormat="false" ht="15" hidden="false" customHeight="false" outlineLevel="0" collapsed="false">
      <c r="A87" s="2" t="s">
        <v>282</v>
      </c>
      <c r="B87" s="15" t="n">
        <v>17</v>
      </c>
      <c r="D87" s="12" t="n">
        <f aca="false">IF(OR(D$4&lt;Assumptions!$E$32,D$4&lt;$B87),0,D65*IF(D$4&gt;=Assumptions!$E$33,INDEX($D$94:$D$111,D$4-MAX($B87,Assumptions!$E$32)+1),INDEX($C$94:$C$111,D$4-MAX($B87,Assumptions!$E$32)+1)))</f>
        <v>0</v>
      </c>
      <c r="E87" s="12" t="n">
        <f aca="false">IF(OR(E$4&lt;Assumptions!$E$32,E$4&lt;$B87),0,E65*IF(E$4&gt;=Assumptions!$E$33,INDEX($D$94:$D$111,E$4-MAX($B87,Assumptions!$E$32)+1),INDEX($C$94:$C$111,E$4-MAX($B87,Assumptions!$E$32)+1)))</f>
        <v>0</v>
      </c>
      <c r="F87" s="12" t="n">
        <f aca="false">IF(OR(F$4&lt;Assumptions!$E$32,F$4&lt;$B87),0,F65*IF(F$4&gt;=Assumptions!$E$33,INDEX($D$94:$D$111,F$4-MAX($B87,Assumptions!$E$32)+1),INDEX($C$94:$C$111,F$4-MAX($B87,Assumptions!$E$32)+1)))</f>
        <v>0</v>
      </c>
      <c r="G87" s="12" t="n">
        <f aca="false">IF(OR(G$4&lt;Assumptions!$E$32,G$4&lt;$B87),0,G65*IF(G$4&gt;=Assumptions!$E$33,INDEX($D$94:$D$111,G$4-MAX($B87,Assumptions!$E$32)+1),INDEX($C$94:$C$111,G$4-MAX($B87,Assumptions!$E$32)+1)))</f>
        <v>0</v>
      </c>
      <c r="H87" s="12" t="n">
        <f aca="false">IF(OR(H$4&lt;Assumptions!$E$32,H$4&lt;$B87),0,H65*IF(H$4&gt;=Assumptions!$E$33,INDEX($D$94:$D$111,H$4-MAX($B87,Assumptions!$E$32)+1),INDEX($C$94:$C$111,H$4-MAX($B87,Assumptions!$E$32)+1)))</f>
        <v>0</v>
      </c>
      <c r="I87" s="12" t="n">
        <f aca="false">IF(OR(I$4&lt;Assumptions!$E$32,I$4&lt;$B87),0,I65*IF(I$4&gt;=Assumptions!$E$33,INDEX($D$94:$D$111,I$4-MAX($B87,Assumptions!$E$32)+1),INDEX($C$94:$C$111,I$4-MAX($B87,Assumptions!$E$32)+1)))</f>
        <v>0</v>
      </c>
      <c r="J87" s="12" t="n">
        <f aca="false">IF(OR(J$4&lt;Assumptions!$E$32,J$4&lt;$B87),0,J65*IF(J$4&gt;=Assumptions!$E$33,INDEX($D$94:$D$111,J$4-MAX($B87,Assumptions!$E$32)+1),INDEX($C$94:$C$111,J$4-MAX($B87,Assumptions!$E$32)+1)))</f>
        <v>0</v>
      </c>
      <c r="K87" s="12" t="n">
        <f aca="false">IF(OR(K$4&lt;Assumptions!$E$32,K$4&lt;$B87),0,K65*IF(K$4&gt;=Assumptions!$E$33,INDEX($D$94:$D$111,K$4-MAX($B87,Assumptions!$E$32)+1),INDEX($C$94:$C$111,K$4-MAX($B87,Assumptions!$E$32)+1)))</f>
        <v>0</v>
      </c>
      <c r="L87" s="12" t="n">
        <f aca="false">IF(OR(L$4&lt;Assumptions!$E$32,L$4&lt;$B87),0,L65*IF(L$4&gt;=Assumptions!$E$33,INDEX($D$94:$D$111,L$4-MAX($B87,Assumptions!$E$32)+1),INDEX($C$94:$C$111,L$4-MAX($B87,Assumptions!$E$32)+1)))</f>
        <v>0</v>
      </c>
      <c r="M87" s="12" t="n">
        <f aca="false">IF(OR(M$4&lt;Assumptions!$E$32,M$4&lt;$B87),0,M65*IF(M$4&gt;=Assumptions!$E$33,INDEX($D$94:$D$111,M$4-MAX($B87,Assumptions!$E$32)+1),INDEX($C$94:$C$111,M$4-MAX($B87,Assumptions!$E$32)+1)))</f>
        <v>0</v>
      </c>
      <c r="N87" s="12" t="n">
        <f aca="false">IF(OR(N$4&lt;Assumptions!$E$32,N$4&lt;$B87),0,N65*IF(N$4&gt;=Assumptions!$E$33,INDEX($D$94:$D$111,N$4-MAX($B87,Assumptions!$E$32)+1),INDEX($C$94:$C$111,N$4-MAX($B87,Assumptions!$E$32)+1)))</f>
        <v>0</v>
      </c>
      <c r="O87" s="12" t="n">
        <f aca="false">IF(OR(O$4&lt;Assumptions!$E$32,O$4&lt;$B87),0,O65*IF(O$4&gt;=Assumptions!$E$33,INDEX($D$94:$D$111,O$4-MAX($B87,Assumptions!$E$32)+1),INDEX($C$94:$C$111,O$4-MAX($B87,Assumptions!$E$32)+1)))</f>
        <v>0</v>
      </c>
      <c r="P87" s="12" t="n">
        <f aca="false">IF(OR(P$4&lt;Assumptions!$E$32,P$4&lt;$B87),0,P65*IF(P$4&gt;=Assumptions!$E$33,INDEX($D$94:$D$111,P$4-MAX($B87,Assumptions!$E$32)+1),INDEX($C$94:$C$111,P$4-MAX($B87,Assumptions!$E$32)+1)))</f>
        <v>0</v>
      </c>
      <c r="Q87" s="12" t="n">
        <f aca="false">IF(OR(Q$4&lt;Assumptions!$E$32,Q$4&lt;$B87),0,Q65*IF(Q$4&gt;=Assumptions!$E$33,INDEX($D$94:$D$111,Q$4-MAX($B87,Assumptions!$E$32)+1),INDEX($C$94:$C$111,Q$4-MAX($B87,Assumptions!$E$32)+1)))</f>
        <v>0</v>
      </c>
      <c r="R87" s="12" t="n">
        <f aca="false">IF(OR(R$4&lt;Assumptions!$E$32,R$4&lt;$B87),0,R65*IF(R$4&gt;=Assumptions!$E$33,INDEX($D$94:$D$111,R$4-MAX($B87,Assumptions!$E$32)+1),INDEX($C$94:$C$111,R$4-MAX($B87,Assumptions!$E$32)+1)))</f>
        <v>0</v>
      </c>
      <c r="S87" s="12" t="n">
        <f aca="false">IF(OR(S$4&lt;Assumptions!$E$32,S$4&lt;$B87),0,S65*IF(S$4&gt;=Assumptions!$E$33,INDEX($D$94:$D$111,S$4-MAX($B87,Assumptions!$E$32)+1),INDEX($C$94:$C$111,S$4-MAX($B87,Assumptions!$E$32)+1)))</f>
        <v>0</v>
      </c>
      <c r="T87" s="12" t="n">
        <f aca="false">IF(OR(T$4&lt;Assumptions!$E$32,T$4&lt;$B87),0,T65*IF(T$4&gt;=Assumptions!$E$33,INDEX($D$94:$D$111,T$4-MAX($B87,Assumptions!$E$32)+1),INDEX($C$94:$C$111,T$4-MAX($B87,Assumptions!$E$32)+1)))</f>
        <v>7</v>
      </c>
      <c r="U87" s="12" t="n">
        <f aca="false">IF(OR(U$4&lt;Assumptions!$E$32,U$4&lt;$B87),0,U65*IF(U$4&gt;=Assumptions!$E$33,INDEX($D$94:$D$111,U$4-MAX($B87,Assumptions!$E$32)+1),INDEX($C$94:$C$111,U$4-MAX($B87,Assumptions!$E$32)+1)))</f>
        <v>13.3</v>
      </c>
    </row>
    <row r="88" customFormat="false" ht="15" hidden="false" customHeight="false" outlineLevel="0" collapsed="false">
      <c r="A88" s="2" t="s">
        <v>283</v>
      </c>
      <c r="B88" s="15" t="n">
        <v>18</v>
      </c>
      <c r="D88" s="12" t="n">
        <f aca="false">IF(OR(D$4&lt;Assumptions!$E$32,D$4&lt;$B88),0,D66*IF(D$4&gt;=Assumptions!$E$33,INDEX($D$94:$D$111,D$4-MAX($B88,Assumptions!$E$32)+1),INDEX($C$94:$C$111,D$4-MAX($B88,Assumptions!$E$32)+1)))</f>
        <v>0</v>
      </c>
      <c r="E88" s="12" t="n">
        <f aca="false">IF(OR(E$4&lt;Assumptions!$E$32,E$4&lt;$B88),0,E66*IF(E$4&gt;=Assumptions!$E$33,INDEX($D$94:$D$111,E$4-MAX($B88,Assumptions!$E$32)+1),INDEX($C$94:$C$111,E$4-MAX($B88,Assumptions!$E$32)+1)))</f>
        <v>0</v>
      </c>
      <c r="F88" s="12" t="n">
        <f aca="false">IF(OR(F$4&lt;Assumptions!$E$32,F$4&lt;$B88),0,F66*IF(F$4&gt;=Assumptions!$E$33,INDEX($D$94:$D$111,F$4-MAX($B88,Assumptions!$E$32)+1),INDEX($C$94:$C$111,F$4-MAX($B88,Assumptions!$E$32)+1)))</f>
        <v>0</v>
      </c>
      <c r="G88" s="12" t="n">
        <f aca="false">IF(OR(G$4&lt;Assumptions!$E$32,G$4&lt;$B88),0,G66*IF(G$4&gt;=Assumptions!$E$33,INDEX($D$94:$D$111,G$4-MAX($B88,Assumptions!$E$32)+1),INDEX($C$94:$C$111,G$4-MAX($B88,Assumptions!$E$32)+1)))</f>
        <v>0</v>
      </c>
      <c r="H88" s="12" t="n">
        <f aca="false">IF(OR(H$4&lt;Assumptions!$E$32,H$4&lt;$B88),0,H66*IF(H$4&gt;=Assumptions!$E$33,INDEX($D$94:$D$111,H$4-MAX($B88,Assumptions!$E$32)+1),INDEX($C$94:$C$111,H$4-MAX($B88,Assumptions!$E$32)+1)))</f>
        <v>0</v>
      </c>
      <c r="I88" s="12" t="n">
        <f aca="false">IF(OR(I$4&lt;Assumptions!$E$32,I$4&lt;$B88),0,I66*IF(I$4&gt;=Assumptions!$E$33,INDEX($D$94:$D$111,I$4-MAX($B88,Assumptions!$E$32)+1),INDEX($C$94:$C$111,I$4-MAX($B88,Assumptions!$E$32)+1)))</f>
        <v>0</v>
      </c>
      <c r="J88" s="12" t="n">
        <f aca="false">IF(OR(J$4&lt;Assumptions!$E$32,J$4&lt;$B88),0,J66*IF(J$4&gt;=Assumptions!$E$33,INDEX($D$94:$D$111,J$4-MAX($B88,Assumptions!$E$32)+1),INDEX($C$94:$C$111,J$4-MAX($B88,Assumptions!$E$32)+1)))</f>
        <v>0</v>
      </c>
      <c r="K88" s="12" t="n">
        <f aca="false">IF(OR(K$4&lt;Assumptions!$E$32,K$4&lt;$B88),0,K66*IF(K$4&gt;=Assumptions!$E$33,INDEX($D$94:$D$111,K$4-MAX($B88,Assumptions!$E$32)+1),INDEX($C$94:$C$111,K$4-MAX($B88,Assumptions!$E$32)+1)))</f>
        <v>0</v>
      </c>
      <c r="L88" s="12" t="n">
        <f aca="false">IF(OR(L$4&lt;Assumptions!$E$32,L$4&lt;$B88),0,L66*IF(L$4&gt;=Assumptions!$E$33,INDEX($D$94:$D$111,L$4-MAX($B88,Assumptions!$E$32)+1),INDEX($C$94:$C$111,L$4-MAX($B88,Assumptions!$E$32)+1)))</f>
        <v>0</v>
      </c>
      <c r="M88" s="12" t="n">
        <f aca="false">IF(OR(M$4&lt;Assumptions!$E$32,M$4&lt;$B88),0,M66*IF(M$4&gt;=Assumptions!$E$33,INDEX($D$94:$D$111,M$4-MAX($B88,Assumptions!$E$32)+1),INDEX($C$94:$C$111,M$4-MAX($B88,Assumptions!$E$32)+1)))</f>
        <v>0</v>
      </c>
      <c r="N88" s="12" t="n">
        <f aca="false">IF(OR(N$4&lt;Assumptions!$E$32,N$4&lt;$B88),0,N66*IF(N$4&gt;=Assumptions!$E$33,INDEX($D$94:$D$111,N$4-MAX($B88,Assumptions!$E$32)+1),INDEX($C$94:$C$111,N$4-MAX($B88,Assumptions!$E$32)+1)))</f>
        <v>0</v>
      </c>
      <c r="O88" s="12" t="n">
        <f aca="false">IF(OR(O$4&lt;Assumptions!$E$32,O$4&lt;$B88),0,O66*IF(O$4&gt;=Assumptions!$E$33,INDEX($D$94:$D$111,O$4-MAX($B88,Assumptions!$E$32)+1),INDEX($C$94:$C$111,O$4-MAX($B88,Assumptions!$E$32)+1)))</f>
        <v>0</v>
      </c>
      <c r="P88" s="12" t="n">
        <f aca="false">IF(OR(P$4&lt;Assumptions!$E$32,P$4&lt;$B88),0,P66*IF(P$4&gt;=Assumptions!$E$33,INDEX($D$94:$D$111,P$4-MAX($B88,Assumptions!$E$32)+1),INDEX($C$94:$C$111,P$4-MAX($B88,Assumptions!$E$32)+1)))</f>
        <v>0</v>
      </c>
      <c r="Q88" s="12" t="n">
        <f aca="false">IF(OR(Q$4&lt;Assumptions!$E$32,Q$4&lt;$B88),0,Q66*IF(Q$4&gt;=Assumptions!$E$33,INDEX($D$94:$D$111,Q$4-MAX($B88,Assumptions!$E$32)+1),INDEX($C$94:$C$111,Q$4-MAX($B88,Assumptions!$E$32)+1)))</f>
        <v>0</v>
      </c>
      <c r="R88" s="12" t="n">
        <f aca="false">IF(OR(R$4&lt;Assumptions!$E$32,R$4&lt;$B88),0,R66*IF(R$4&gt;=Assumptions!$E$33,INDEX($D$94:$D$111,R$4-MAX($B88,Assumptions!$E$32)+1),INDEX($C$94:$C$111,R$4-MAX($B88,Assumptions!$E$32)+1)))</f>
        <v>0</v>
      </c>
      <c r="S88" s="12" t="n">
        <f aca="false">IF(OR(S$4&lt;Assumptions!$E$32,S$4&lt;$B88),0,S66*IF(S$4&gt;=Assumptions!$E$33,INDEX($D$94:$D$111,S$4-MAX($B88,Assumptions!$E$32)+1),INDEX($C$94:$C$111,S$4-MAX($B88,Assumptions!$E$32)+1)))</f>
        <v>0</v>
      </c>
      <c r="T88" s="12" t="n">
        <f aca="false">IF(OR(T$4&lt;Assumptions!$E$32,T$4&lt;$B88),0,T66*IF(T$4&gt;=Assumptions!$E$33,INDEX($D$94:$D$111,T$4-MAX($B88,Assumptions!$E$32)+1),INDEX($C$94:$C$111,T$4-MAX($B88,Assumptions!$E$32)+1)))</f>
        <v>0</v>
      </c>
      <c r="U88" s="12" t="n">
        <f aca="false">IF(OR(U$4&lt;Assumptions!$E$32,U$4&lt;$B88),0,U66*IF(U$4&gt;=Assumptions!$E$33,INDEX($D$94:$D$111,U$4-MAX($B88,Assumptions!$E$32)+1),INDEX($C$94:$C$111,U$4-MAX($B88,Assumptions!$E$32)+1)))</f>
        <v>7</v>
      </c>
    </row>
    <row r="92" customFormat="false" ht="15" hidden="false" customHeight="false" outlineLevel="0" collapsed="false">
      <c r="A92" s="6" t="s">
        <v>285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customFormat="false" ht="23.85" hidden="false" customHeight="false" outlineLevel="0" collapsed="false">
      <c r="A93" s="5" t="s">
        <v>286</v>
      </c>
      <c r="B93" s="5" t="s">
        <v>287</v>
      </c>
      <c r="C93" s="5" t="s">
        <v>288</v>
      </c>
      <c r="D93" s="5" t="s">
        <v>289</v>
      </c>
    </row>
    <row r="94" customFormat="false" ht="15" hidden="false" customHeight="false" outlineLevel="0" collapsed="false">
      <c r="A94" s="2" t="s">
        <v>290</v>
      </c>
      <c r="B94" s="15" t="n">
        <v>1</v>
      </c>
      <c r="C94" s="19" t="n">
        <f aca="false">Assumptions!$E$36*IF($B94&lt;=3,INDEX(Assumptions!$C$48:$C$53,$B94),INDEX(Assumptions!$C$48:$C$53,4))</f>
        <v>0.0004</v>
      </c>
      <c r="D94" s="19" t="n">
        <f aca="false">Assumptions!$E$36*IF($B94&lt;=3,INDEX(Assumptions!$C$48:$C$53,$B94),IF($B94&lt;5,INDEX(Assumptions!$C$48:$C$53,4),IF($B94&lt;8,(1-Assumptions!$E$37)*INDEX(Assumptions!$C$48:$C$53,4)+Assumptions!$E$37*INDEX(Assumptions!$C$48:$C$53,5),(1-Assumptions!$E$37)*INDEX(Assumptions!$C$48:$C$53,4)+Assumptions!$E$37*INDEX(Assumptions!$C$48:$C$53,6))))</f>
        <v>0.0004</v>
      </c>
    </row>
    <row r="95" customFormat="false" ht="15" hidden="false" customHeight="false" outlineLevel="0" collapsed="false">
      <c r="A95" s="2" t="s">
        <v>291</v>
      </c>
      <c r="B95" s="15" t="n">
        <v>2</v>
      </c>
      <c r="C95" s="19" t="n">
        <f aca="false">Assumptions!$E$36*IF($B95&lt;=3,INDEX(Assumptions!$C$48:$C$53,$B95),INDEX(Assumptions!$C$48:$C$53,4))</f>
        <v>0.0008</v>
      </c>
      <c r="D95" s="19" t="n">
        <f aca="false">Assumptions!$E$36*IF($B95&lt;=3,INDEX(Assumptions!$C$48:$C$53,$B95),IF($B95&lt;5,INDEX(Assumptions!$C$48:$C$53,4),IF($B95&lt;8,(1-Assumptions!$E$37)*INDEX(Assumptions!$C$48:$C$53,4)+Assumptions!$E$37*INDEX(Assumptions!$C$48:$C$53,5),(1-Assumptions!$E$37)*INDEX(Assumptions!$C$48:$C$53,4)+Assumptions!$E$37*INDEX(Assumptions!$C$48:$C$53,6))))</f>
        <v>0.0008</v>
      </c>
    </row>
    <row r="96" customFormat="false" ht="15" hidden="false" customHeight="false" outlineLevel="0" collapsed="false">
      <c r="A96" s="2" t="s">
        <v>292</v>
      </c>
      <c r="B96" s="15" t="n">
        <v>3</v>
      </c>
      <c r="C96" s="19" t="n">
        <f aca="false">Assumptions!$E$36*IF($B96&lt;=3,INDEX(Assumptions!$C$48:$C$53,$B96),INDEX(Assumptions!$C$48:$C$53,4))</f>
        <v>0.0012</v>
      </c>
      <c r="D96" s="19" t="n">
        <f aca="false">Assumptions!$E$36*IF($B96&lt;=3,INDEX(Assumptions!$C$48:$C$53,$B96),IF($B96&lt;5,INDEX(Assumptions!$C$48:$C$53,4),IF($B96&lt;8,(1-Assumptions!$E$37)*INDEX(Assumptions!$C$48:$C$53,4)+Assumptions!$E$37*INDEX(Assumptions!$C$48:$C$53,5),(1-Assumptions!$E$37)*INDEX(Assumptions!$C$48:$C$53,4)+Assumptions!$E$37*INDEX(Assumptions!$C$48:$C$53,6))))</f>
        <v>0.0012</v>
      </c>
    </row>
    <row r="97" customFormat="false" ht="15" hidden="false" customHeight="false" outlineLevel="0" collapsed="false">
      <c r="A97" s="2" t="s">
        <v>293</v>
      </c>
      <c r="B97" s="15" t="n">
        <v>4</v>
      </c>
      <c r="C97" s="19" t="n">
        <f aca="false">Assumptions!$E$36*IF($B97&lt;=3,INDEX(Assumptions!$C$48:$C$53,$B97),INDEX(Assumptions!$C$48:$C$53,4))</f>
        <v>0.002</v>
      </c>
      <c r="D97" s="19" t="n">
        <f aca="false">Assumptions!$E$36*IF($B97&lt;=3,INDEX(Assumptions!$C$48:$C$53,$B97),IF($B97&lt;5,INDEX(Assumptions!$C$48:$C$53,4),IF($B97&lt;8,(1-Assumptions!$E$37)*INDEX(Assumptions!$C$48:$C$53,4)+Assumptions!$E$37*INDEX(Assumptions!$C$48:$C$53,5),(1-Assumptions!$E$37)*INDEX(Assumptions!$C$48:$C$53,4)+Assumptions!$E$37*INDEX(Assumptions!$C$48:$C$53,6))))</f>
        <v>0.002</v>
      </c>
    </row>
    <row r="98" customFormat="false" ht="15" hidden="false" customHeight="false" outlineLevel="0" collapsed="false">
      <c r="A98" s="2" t="s">
        <v>294</v>
      </c>
      <c r="B98" s="15" t="n">
        <v>5</v>
      </c>
      <c r="C98" s="19" t="n">
        <f aca="false">Assumptions!$E$36*IF($B98&lt;=3,INDEX(Assumptions!$C$48:$C$53,$B98),INDEX(Assumptions!$C$48:$C$53,4))</f>
        <v>0.002</v>
      </c>
      <c r="D98" s="19" t="n">
        <f aca="false">Assumptions!$E$36*IF($B98&lt;=3,INDEX(Assumptions!$C$48:$C$53,$B98),IF($B98&lt;5,INDEX(Assumptions!$C$48:$C$53,4),IF($B98&lt;8,(1-Assumptions!$E$37)*INDEX(Assumptions!$C$48:$C$53,4)+Assumptions!$E$37*INDEX(Assumptions!$C$48:$C$53,5),(1-Assumptions!$E$37)*INDEX(Assumptions!$C$48:$C$53,4)+Assumptions!$E$37*INDEX(Assumptions!$C$48:$C$53,6))))</f>
        <v>0.00212</v>
      </c>
    </row>
    <row r="99" customFormat="false" ht="15" hidden="false" customHeight="false" outlineLevel="0" collapsed="false">
      <c r="A99" s="2" t="s">
        <v>295</v>
      </c>
      <c r="B99" s="15" t="n">
        <v>6</v>
      </c>
      <c r="C99" s="19" t="n">
        <f aca="false">Assumptions!$E$36*IF($B99&lt;=3,INDEX(Assumptions!$C$48:$C$53,$B99),INDEX(Assumptions!$C$48:$C$53,4))</f>
        <v>0.002</v>
      </c>
      <c r="D99" s="19" t="n">
        <f aca="false">Assumptions!$E$36*IF($B99&lt;=3,INDEX(Assumptions!$C$48:$C$53,$B99),IF($B99&lt;5,INDEX(Assumptions!$C$48:$C$53,4),IF($B99&lt;8,(1-Assumptions!$E$37)*INDEX(Assumptions!$C$48:$C$53,4)+Assumptions!$E$37*INDEX(Assumptions!$C$48:$C$53,5),(1-Assumptions!$E$37)*INDEX(Assumptions!$C$48:$C$53,4)+Assumptions!$E$37*INDEX(Assumptions!$C$48:$C$53,6))))</f>
        <v>0.00212</v>
      </c>
    </row>
    <row r="100" customFormat="false" ht="15" hidden="false" customHeight="false" outlineLevel="0" collapsed="false">
      <c r="A100" s="2" t="s">
        <v>296</v>
      </c>
      <c r="B100" s="15" t="n">
        <v>7</v>
      </c>
      <c r="C100" s="19" t="n">
        <f aca="false">Assumptions!$E$36*IF($B100&lt;=3,INDEX(Assumptions!$C$48:$C$53,$B100),INDEX(Assumptions!$C$48:$C$53,4))</f>
        <v>0.002</v>
      </c>
      <c r="D100" s="19" t="n">
        <f aca="false">Assumptions!$E$36*IF($B100&lt;=3,INDEX(Assumptions!$C$48:$C$53,$B100),IF($B100&lt;5,INDEX(Assumptions!$C$48:$C$53,4),IF($B100&lt;8,(1-Assumptions!$E$37)*INDEX(Assumptions!$C$48:$C$53,4)+Assumptions!$E$37*INDEX(Assumptions!$C$48:$C$53,5),(1-Assumptions!$E$37)*INDEX(Assumptions!$C$48:$C$53,4)+Assumptions!$E$37*INDEX(Assumptions!$C$48:$C$53,6))))</f>
        <v>0.00212</v>
      </c>
    </row>
    <row r="101" customFormat="false" ht="15" hidden="false" customHeight="false" outlineLevel="0" collapsed="false">
      <c r="A101" s="2" t="s">
        <v>297</v>
      </c>
      <c r="B101" s="15" t="n">
        <v>8</v>
      </c>
      <c r="C101" s="19" t="n">
        <f aca="false">Assumptions!$E$36*IF($B101&lt;=3,INDEX(Assumptions!$C$48:$C$53,$B101),INDEX(Assumptions!$C$48:$C$53,4))</f>
        <v>0.002</v>
      </c>
      <c r="D101" s="19" t="n">
        <f aca="false">Assumptions!$E$36*IF($B101&lt;=3,INDEX(Assumptions!$C$48:$C$53,$B101),IF($B101&lt;5,INDEX(Assumptions!$C$48:$C$53,4),IF($B101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02" customFormat="false" ht="15" hidden="false" customHeight="false" outlineLevel="0" collapsed="false">
      <c r="A102" s="2" t="s">
        <v>298</v>
      </c>
      <c r="B102" s="15" t="n">
        <v>9</v>
      </c>
      <c r="C102" s="19" t="n">
        <f aca="false">Assumptions!$E$36*IF($B102&lt;=3,INDEX(Assumptions!$C$48:$C$53,$B102),INDEX(Assumptions!$C$48:$C$53,4))</f>
        <v>0.002</v>
      </c>
      <c r="D102" s="19" t="n">
        <f aca="false">Assumptions!$E$36*IF($B102&lt;=3,INDEX(Assumptions!$C$48:$C$53,$B102),IF($B102&lt;5,INDEX(Assumptions!$C$48:$C$53,4),IF($B102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03" customFormat="false" ht="15" hidden="false" customHeight="false" outlineLevel="0" collapsed="false">
      <c r="A103" s="2" t="s">
        <v>299</v>
      </c>
      <c r="B103" s="15" t="n">
        <v>10</v>
      </c>
      <c r="C103" s="19" t="n">
        <f aca="false">Assumptions!$E$36*IF($B103&lt;=3,INDEX(Assumptions!$C$48:$C$53,$B103),INDEX(Assumptions!$C$48:$C$53,4))</f>
        <v>0.002</v>
      </c>
      <c r="D103" s="19" t="n">
        <f aca="false">Assumptions!$E$36*IF($B103&lt;=3,INDEX(Assumptions!$C$48:$C$53,$B103),IF($B103&lt;5,INDEX(Assumptions!$C$48:$C$53,4),IF($B103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04" customFormat="false" ht="15" hidden="false" customHeight="false" outlineLevel="0" collapsed="false">
      <c r="A104" s="2" t="s">
        <v>300</v>
      </c>
      <c r="B104" s="15" t="n">
        <v>11</v>
      </c>
      <c r="C104" s="19" t="n">
        <f aca="false">Assumptions!$E$36*IF($B104&lt;=3,INDEX(Assumptions!$C$48:$C$53,$B104),INDEX(Assumptions!$C$48:$C$53,4))</f>
        <v>0.002</v>
      </c>
      <c r="D104" s="19" t="n">
        <f aca="false">Assumptions!$E$36*IF($B104&lt;=3,INDEX(Assumptions!$C$48:$C$53,$B104),IF($B104&lt;5,INDEX(Assumptions!$C$48:$C$53,4),IF($B104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05" customFormat="false" ht="15" hidden="false" customHeight="false" outlineLevel="0" collapsed="false">
      <c r="A105" s="2" t="s">
        <v>301</v>
      </c>
      <c r="B105" s="15" t="n">
        <v>12</v>
      </c>
      <c r="C105" s="19" t="n">
        <f aca="false">Assumptions!$E$36*IF($B105&lt;=3,INDEX(Assumptions!$C$48:$C$53,$B105),INDEX(Assumptions!$C$48:$C$53,4))</f>
        <v>0.002</v>
      </c>
      <c r="D105" s="19" t="n">
        <f aca="false">Assumptions!$E$36*IF($B105&lt;=3,INDEX(Assumptions!$C$48:$C$53,$B105),IF($B105&lt;5,INDEX(Assumptions!$C$48:$C$53,4),IF($B105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06" customFormat="false" ht="15" hidden="false" customHeight="false" outlineLevel="0" collapsed="false">
      <c r="A106" s="2" t="s">
        <v>302</v>
      </c>
      <c r="B106" s="15" t="n">
        <v>13</v>
      </c>
      <c r="C106" s="19" t="n">
        <f aca="false">Assumptions!$E$36*IF($B106&lt;=3,INDEX(Assumptions!$C$48:$C$53,$B106),INDEX(Assumptions!$C$48:$C$53,4))</f>
        <v>0.002</v>
      </c>
      <c r="D106" s="19" t="n">
        <f aca="false">Assumptions!$E$36*IF($B106&lt;=3,INDEX(Assumptions!$C$48:$C$53,$B106),IF($B106&lt;5,INDEX(Assumptions!$C$48:$C$53,4),IF($B106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07" customFormat="false" ht="15" hidden="false" customHeight="false" outlineLevel="0" collapsed="false">
      <c r="A107" s="2" t="s">
        <v>303</v>
      </c>
      <c r="B107" s="15" t="n">
        <v>14</v>
      </c>
      <c r="C107" s="19" t="n">
        <f aca="false">Assumptions!$E$36*IF($B107&lt;=3,INDEX(Assumptions!$C$48:$C$53,$B107),INDEX(Assumptions!$C$48:$C$53,4))</f>
        <v>0.002</v>
      </c>
      <c r="D107" s="19" t="n">
        <f aca="false">Assumptions!$E$36*IF($B107&lt;=3,INDEX(Assumptions!$C$48:$C$53,$B107),IF($B107&lt;5,INDEX(Assumptions!$C$48:$C$53,4),IF($B107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08" customFormat="false" ht="15" hidden="false" customHeight="false" outlineLevel="0" collapsed="false">
      <c r="A108" s="2" t="s">
        <v>304</v>
      </c>
      <c r="B108" s="15" t="n">
        <v>15</v>
      </c>
      <c r="C108" s="19" t="n">
        <f aca="false">Assumptions!$E$36*IF($B108&lt;=3,INDEX(Assumptions!$C$48:$C$53,$B108),INDEX(Assumptions!$C$48:$C$53,4))</f>
        <v>0.002</v>
      </c>
      <c r="D108" s="19" t="n">
        <f aca="false">Assumptions!$E$36*IF($B108&lt;=3,INDEX(Assumptions!$C$48:$C$53,$B108),IF($B108&lt;5,INDEX(Assumptions!$C$48:$C$53,4),IF($B108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09" customFormat="false" ht="15" hidden="false" customHeight="false" outlineLevel="0" collapsed="false">
      <c r="A109" s="2" t="s">
        <v>305</v>
      </c>
      <c r="B109" s="15" t="n">
        <v>16</v>
      </c>
      <c r="C109" s="19" t="n">
        <f aca="false">Assumptions!$E$36*IF($B109&lt;=3,INDEX(Assumptions!$C$48:$C$53,$B109),INDEX(Assumptions!$C$48:$C$53,4))</f>
        <v>0.002</v>
      </c>
      <c r="D109" s="19" t="n">
        <f aca="false">Assumptions!$E$36*IF($B109&lt;=3,INDEX(Assumptions!$C$48:$C$53,$B109),IF($B109&lt;5,INDEX(Assumptions!$C$48:$C$53,4),IF($B109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10" customFormat="false" ht="15" hidden="false" customHeight="false" outlineLevel="0" collapsed="false">
      <c r="A110" s="2" t="s">
        <v>306</v>
      </c>
      <c r="B110" s="15" t="n">
        <v>17</v>
      </c>
      <c r="C110" s="19" t="n">
        <f aca="false">Assumptions!$E$36*IF($B110&lt;=3,INDEX(Assumptions!$C$48:$C$53,$B110),INDEX(Assumptions!$C$48:$C$53,4))</f>
        <v>0.002</v>
      </c>
      <c r="D110" s="19" t="n">
        <f aca="false">Assumptions!$E$36*IF($B110&lt;=3,INDEX(Assumptions!$C$48:$C$53,$B110),IF($B110&lt;5,INDEX(Assumptions!$C$48:$C$53,4),IF($B110&lt;8,(1-Assumptions!$E$37)*INDEX(Assumptions!$C$48:$C$53,4)+Assumptions!$E$37*INDEX(Assumptions!$C$48:$C$53,5),(1-Assumptions!$E$37)*INDEX(Assumptions!$C$48:$C$53,4)+Assumptions!$E$37*INDEX(Assumptions!$C$48:$C$53,6))))</f>
        <v>0.00236</v>
      </c>
    </row>
    <row r="111" customFormat="false" ht="15" hidden="false" customHeight="false" outlineLevel="0" collapsed="false">
      <c r="A111" s="2" t="s">
        <v>307</v>
      </c>
      <c r="B111" s="15" t="n">
        <v>18</v>
      </c>
      <c r="C111" s="19" t="n">
        <f aca="false">Assumptions!$E$36*IF($B111&lt;=3,INDEX(Assumptions!$C$48:$C$53,$B111),INDEX(Assumptions!$C$48:$C$53,4))</f>
        <v>0.002</v>
      </c>
      <c r="D111" s="19" t="n">
        <f aca="false">Assumptions!$E$36*IF($B111&lt;=3,INDEX(Assumptions!$C$48:$C$53,$B111),IF($B111&lt;5,INDEX(Assumptions!$C$48:$C$53,4),IF($B111&lt;8,(1-Assumptions!$E$37)*INDEX(Assumptions!$C$48:$C$53,4)+Assumptions!$E$37*INDEX(Assumptions!$C$48:$C$53,5),(1-Assumptions!$E$37)*INDEX(Assumptions!$C$48:$C$53,4)+Assumptions!$E$37*INDEX(Assumptions!$C$48:$C$53,6))))</f>
        <v>0.00236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2026-10-02T04:41:21Z</dcterms:created>
  <dc:creator>openpyxl</dc:creator>
  <dc:description/>
  <dc:language>en-US</dc:language>
  <cp:lastModifiedBy/>
  <dcterms:modified xsi:type="dcterms:W3CDTF">2026-10-02T04:41:21Z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